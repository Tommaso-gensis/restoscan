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ate1904="1"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D:\cimotola\"/>
    </mc:Choice>
  </mc:AlternateContent>
  <xr:revisionPtr revIDLastSave="0" documentId="13_ncr:1_{348F4E0E-47ED-4C51-9040-C37AEE749846}" xr6:coauthVersionLast="47" xr6:coauthVersionMax="47" xr10:uidLastSave="{00000000-0000-0000-0000-000000000000}"/>
  <bookViews>
    <workbookView xWindow="-120" yWindow="-120" windowWidth="29040" windowHeight="15720" tabRatio="721" xr2:uid="{00000000-000D-0000-FFFF-FFFF00000000}"/>
  </bookViews>
  <sheets>
    <sheet name="DEC 2026" sheetId="152" r:id="rId1"/>
    <sheet name="NOV 2026" sheetId="151" r:id="rId2"/>
    <sheet name="OCT 2026" sheetId="150" r:id="rId3"/>
    <sheet name="SEPT 2026" sheetId="149" r:id="rId4"/>
    <sheet name="AOUT 2026" sheetId="148" r:id="rId5"/>
    <sheet name="JUILLET 2026" sheetId="147" r:id="rId6"/>
    <sheet name="JUIN 2026" sheetId="146" r:id="rId7"/>
    <sheet name="MAI 2026" sheetId="145" r:id="rId8"/>
    <sheet name="AVRIL 2026" sheetId="144" r:id="rId9"/>
    <sheet name="MARS 2026" sheetId="143" r:id="rId10"/>
    <sheet name="FEVRIER 2026" sheetId="142" r:id="rId11"/>
    <sheet name="JANV 2026" sheetId="133" r:id="rId12"/>
    <sheet name="tva onss" sheetId="3" r:id="rId13"/>
    <sheet name="marge" sheetId="141" r:id="rId14"/>
  </sheets>
  <externalReferences>
    <externalReference r:id="rId15"/>
  </externalReferences>
  <definedNames>
    <definedName name="_xlnm.Print_Area" localSheetId="4">'AOUT 2026'!$A$1:$P$36</definedName>
    <definedName name="_xlnm.Print_Area" localSheetId="8">'AVRIL 2026'!$A$1:$P$36</definedName>
    <definedName name="_xlnm.Print_Area" localSheetId="0">'DEC 2026'!$A$1:$P$36</definedName>
    <definedName name="_xlnm.Print_Area" localSheetId="10">'FEVRIER 2026'!$A$1:$P$36</definedName>
    <definedName name="_xlnm.Print_Area" localSheetId="11">'JANV 2026'!$A$1:$P$36</definedName>
    <definedName name="_xlnm.Print_Area" localSheetId="5">'JUILLET 2026'!$A$1:$P$36</definedName>
    <definedName name="_xlnm.Print_Area" localSheetId="6">'JUIN 2026'!$A$1:$P$36</definedName>
    <definedName name="_xlnm.Print_Area" localSheetId="7">'MAI 2026'!$A$1:$P$36</definedName>
    <definedName name="_xlnm.Print_Area" localSheetId="9">'MARS 2026'!$A$1:$P$36</definedName>
    <definedName name="_xlnm.Print_Area" localSheetId="1">'NOV 2026'!$A$1:$P$36</definedName>
    <definedName name="_xlnm.Print_Area" localSheetId="2">'OCT 2026'!$A$1:$P$36</definedName>
    <definedName name="_xlnm.Print_Area" localSheetId="3">'SEPT 2026'!$A$1:$P$36</definedName>
  </definedNames>
  <calcPr calcId="181029"/>
  <extLst>
    <ext xmlns:mx="http://schemas.microsoft.com/office/mac/excel/2008/main" uri="http://schemas.microsoft.com/office/mac/excel/2008/main">
      <mx:ArchID Flags="2"/>
    </ext>
  </extLst>
</workbook>
</file>

<file path=xl/calcChain.xml><?xml version="1.0" encoding="utf-8"?>
<calcChain xmlns="http://schemas.openxmlformats.org/spreadsheetml/2006/main">
  <c r="P2" i="147" l="1"/>
  <c r="E30" i="3"/>
  <c r="D30" i="3"/>
  <c r="E29" i="3"/>
  <c r="D29" i="3"/>
  <c r="E28" i="3"/>
  <c r="D28" i="3"/>
  <c r="M8" i="141"/>
  <c r="M9" i="141"/>
  <c r="M10" i="141"/>
  <c r="M11" i="141"/>
  <c r="M12" i="141"/>
  <c r="M13" i="141"/>
  <c r="M14" i="141"/>
  <c r="M15" i="141"/>
  <c r="M16" i="141"/>
  <c r="M17" i="141"/>
  <c r="M18" i="141"/>
  <c r="M19" i="141"/>
  <c r="M20" i="141"/>
  <c r="M21" i="141"/>
  <c r="M22" i="141"/>
  <c r="M23" i="141"/>
  <c r="M24" i="141"/>
  <c r="M25" i="141"/>
  <c r="M26" i="141"/>
  <c r="M27" i="141"/>
  <c r="M28" i="141"/>
  <c r="M29" i="141"/>
  <c r="M30" i="141"/>
  <c r="M31" i="141"/>
  <c r="M32" i="141"/>
  <c r="M33" i="141"/>
  <c r="L8" i="141"/>
  <c r="L9" i="141"/>
  <c r="L10" i="141"/>
  <c r="L11" i="141"/>
  <c r="L12" i="141"/>
  <c r="L13" i="141"/>
  <c r="L14" i="141"/>
  <c r="L15" i="141"/>
  <c r="L16" i="141"/>
  <c r="L17" i="141"/>
  <c r="L18" i="141"/>
  <c r="L19" i="141"/>
  <c r="L20" i="141"/>
  <c r="L21" i="141"/>
  <c r="L22" i="141"/>
  <c r="L23" i="141"/>
  <c r="L24" i="141"/>
  <c r="L25" i="141"/>
  <c r="L26" i="141"/>
  <c r="L27" i="141"/>
  <c r="L28" i="141"/>
  <c r="L29" i="141"/>
  <c r="L30" i="141"/>
  <c r="L31" i="141"/>
  <c r="L32" i="141"/>
  <c r="L33" i="141"/>
  <c r="K8" i="141"/>
  <c r="K9" i="141"/>
  <c r="K10" i="141"/>
  <c r="K11" i="141"/>
  <c r="K12" i="141"/>
  <c r="K13" i="141"/>
  <c r="K14" i="141"/>
  <c r="K15" i="141"/>
  <c r="K16" i="141"/>
  <c r="K17" i="141"/>
  <c r="K18" i="141"/>
  <c r="K19" i="141"/>
  <c r="K20" i="141"/>
  <c r="K21" i="141"/>
  <c r="K22" i="141"/>
  <c r="K23" i="141"/>
  <c r="K24" i="141"/>
  <c r="K25" i="141"/>
  <c r="K26" i="141"/>
  <c r="K27" i="141"/>
  <c r="K28" i="141"/>
  <c r="K29" i="141"/>
  <c r="K30" i="141"/>
  <c r="K31" i="141"/>
  <c r="K32" i="141"/>
  <c r="K33" i="141"/>
  <c r="J8" i="141"/>
  <c r="J9" i="141"/>
  <c r="J10" i="141"/>
  <c r="J11" i="141"/>
  <c r="J12" i="141"/>
  <c r="J13" i="141"/>
  <c r="J14" i="141"/>
  <c r="J15" i="141"/>
  <c r="J16" i="141"/>
  <c r="J17" i="141"/>
  <c r="J18" i="141"/>
  <c r="J19" i="141"/>
  <c r="J20" i="141"/>
  <c r="J21" i="141"/>
  <c r="J22" i="141"/>
  <c r="J23" i="141"/>
  <c r="J24" i="141"/>
  <c r="J25" i="141"/>
  <c r="J26" i="141"/>
  <c r="J27" i="141"/>
  <c r="J28" i="141"/>
  <c r="J29" i="141"/>
  <c r="J30" i="141"/>
  <c r="J31" i="141"/>
  <c r="J32" i="141"/>
  <c r="J33" i="141"/>
  <c r="I8" i="141"/>
  <c r="I9" i="141"/>
  <c r="I10" i="141"/>
  <c r="I11" i="141"/>
  <c r="I12" i="141"/>
  <c r="I13" i="141"/>
  <c r="I14" i="141"/>
  <c r="I15" i="141"/>
  <c r="I16" i="141"/>
  <c r="I17" i="141"/>
  <c r="I18" i="141"/>
  <c r="I19" i="141"/>
  <c r="I20" i="141"/>
  <c r="I21" i="141"/>
  <c r="I22" i="141"/>
  <c r="I23" i="141"/>
  <c r="I24" i="141"/>
  <c r="I25" i="141"/>
  <c r="I26" i="141"/>
  <c r="I27" i="141"/>
  <c r="I28" i="141"/>
  <c r="I29" i="141"/>
  <c r="I30" i="141"/>
  <c r="I31" i="141"/>
  <c r="I32" i="141"/>
  <c r="I33" i="141"/>
  <c r="H8" i="141"/>
  <c r="H9" i="141"/>
  <c r="H10" i="141"/>
  <c r="H11" i="141"/>
  <c r="H12" i="141"/>
  <c r="H13" i="141"/>
  <c r="H14" i="141"/>
  <c r="H15" i="141"/>
  <c r="H16" i="141"/>
  <c r="H17" i="141"/>
  <c r="H18" i="141"/>
  <c r="H19" i="141"/>
  <c r="H20" i="141"/>
  <c r="H21" i="141"/>
  <c r="H22" i="141"/>
  <c r="H23" i="141"/>
  <c r="H24" i="141"/>
  <c r="H25" i="141"/>
  <c r="H26" i="141"/>
  <c r="H27" i="141"/>
  <c r="H28" i="141"/>
  <c r="H29" i="141"/>
  <c r="H30" i="141"/>
  <c r="H31" i="141"/>
  <c r="H32" i="141"/>
  <c r="H33" i="141"/>
  <c r="G5" i="141"/>
  <c r="G6" i="141"/>
  <c r="G7" i="141"/>
  <c r="G8" i="141"/>
  <c r="G9" i="141"/>
  <c r="G10" i="141"/>
  <c r="G11" i="141"/>
  <c r="G12" i="141"/>
  <c r="G13" i="141"/>
  <c r="G14" i="141"/>
  <c r="G15" i="141"/>
  <c r="G16" i="141"/>
  <c r="G17" i="141"/>
  <c r="G18" i="141"/>
  <c r="G19" i="141"/>
  <c r="G20" i="141"/>
  <c r="G21" i="141"/>
  <c r="G22" i="141"/>
  <c r="G23" i="141"/>
  <c r="G24" i="141"/>
  <c r="G25" i="141"/>
  <c r="G26" i="141"/>
  <c r="G27" i="141"/>
  <c r="G28" i="141"/>
  <c r="G29" i="141"/>
  <c r="G30" i="141"/>
  <c r="G31" i="141"/>
  <c r="G32" i="141"/>
  <c r="G33" i="141"/>
  <c r="G4" i="141"/>
  <c r="F5" i="141"/>
  <c r="F6" i="141"/>
  <c r="F7" i="141"/>
  <c r="F8" i="141"/>
  <c r="F9" i="141"/>
  <c r="F11" i="141"/>
  <c r="F12" i="141"/>
  <c r="F13" i="141"/>
  <c r="F14" i="141"/>
  <c r="F15" i="141"/>
  <c r="F16" i="141"/>
  <c r="F17" i="141"/>
  <c r="F18" i="141"/>
  <c r="F19" i="141"/>
  <c r="F20" i="141"/>
  <c r="F21" i="141"/>
  <c r="F22" i="141"/>
  <c r="F23" i="141"/>
  <c r="F24" i="141"/>
  <c r="F25" i="141"/>
  <c r="F26" i="141"/>
  <c r="F27" i="141"/>
  <c r="F28" i="141"/>
  <c r="F29" i="141"/>
  <c r="F30" i="141"/>
  <c r="F31" i="141"/>
  <c r="F32" i="141"/>
  <c r="F4" i="141"/>
  <c r="E5" i="141"/>
  <c r="E6" i="141"/>
  <c r="E7" i="141"/>
  <c r="E8" i="141"/>
  <c r="E9" i="141"/>
  <c r="E11" i="141"/>
  <c r="E12" i="141"/>
  <c r="E13" i="141"/>
  <c r="E14" i="141"/>
  <c r="E15" i="141"/>
  <c r="E16" i="141"/>
  <c r="E17" i="141"/>
  <c r="E18" i="141"/>
  <c r="E19" i="141"/>
  <c r="E20" i="141"/>
  <c r="E21" i="141"/>
  <c r="E22" i="141"/>
  <c r="E23" i="141"/>
  <c r="E24" i="141"/>
  <c r="E25" i="141"/>
  <c r="E26" i="141"/>
  <c r="E27" i="141"/>
  <c r="E28" i="141"/>
  <c r="E29" i="141"/>
  <c r="E30" i="141"/>
  <c r="E31" i="141"/>
  <c r="E32" i="141"/>
  <c r="E33" i="141"/>
  <c r="E4" i="141"/>
  <c r="G60" i="141"/>
  <c r="F60" i="141"/>
  <c r="E60" i="141"/>
  <c r="AJ68" i="152"/>
  <c r="AD64" i="152"/>
  <c r="AC63" i="152"/>
  <c r="AL62" i="152"/>
  <c r="AE62" i="152"/>
  <c r="AL61" i="152"/>
  <c r="AE61" i="152"/>
  <c r="AL60" i="152"/>
  <c r="AE60" i="152"/>
  <c r="AL59" i="152"/>
  <c r="AE59" i="152"/>
  <c r="AL58" i="152"/>
  <c r="AE58" i="152"/>
  <c r="AL57" i="152"/>
  <c r="AE57" i="152"/>
  <c r="AL56" i="152"/>
  <c r="AE56" i="152"/>
  <c r="AL55" i="152"/>
  <c r="AE55" i="152"/>
  <c r="AL54" i="152"/>
  <c r="AE54" i="152"/>
  <c r="AL53" i="152"/>
  <c r="AE53" i="152"/>
  <c r="AL52" i="152"/>
  <c r="AE52" i="152"/>
  <c r="AL51" i="152"/>
  <c r="AE51" i="152"/>
  <c r="AL50" i="152"/>
  <c r="AE50" i="152"/>
  <c r="AL49" i="152"/>
  <c r="AE49" i="152"/>
  <c r="AL48" i="152"/>
  <c r="AE48" i="152"/>
  <c r="AL47" i="152"/>
  <c r="AE47" i="152"/>
  <c r="AL46" i="152"/>
  <c r="AE46" i="152"/>
  <c r="AL45" i="152"/>
  <c r="AE45" i="152"/>
  <c r="AL44" i="152"/>
  <c r="AE44" i="152"/>
  <c r="AL43" i="152"/>
  <c r="AE43" i="152"/>
  <c r="AL42" i="152"/>
  <c r="AE42" i="152"/>
  <c r="AL41" i="152"/>
  <c r="AE41" i="152"/>
  <c r="AL40" i="152"/>
  <c r="AE40" i="152"/>
  <c r="AL39" i="152"/>
  <c r="AE39" i="152"/>
  <c r="AL38" i="152"/>
  <c r="AE38" i="152"/>
  <c r="AL37" i="152"/>
  <c r="AE37" i="152"/>
  <c r="AL36" i="152"/>
  <c r="AE36" i="152"/>
  <c r="AL35" i="152"/>
  <c r="AE35" i="152"/>
  <c r="G35" i="152"/>
  <c r="B35" i="152"/>
  <c r="AL34" i="152"/>
  <c r="AE34" i="152"/>
  <c r="N34" i="152"/>
  <c r="M34" i="152"/>
  <c r="J34" i="152"/>
  <c r="H34" i="152"/>
  <c r="E34" i="152"/>
  <c r="D34" i="152"/>
  <c r="C34" i="152"/>
  <c r="B34" i="152"/>
  <c r="AL33" i="152"/>
  <c r="AE33" i="152"/>
  <c r="F33" i="152"/>
  <c r="F32" i="152"/>
  <c r="F31" i="152"/>
  <c r="AD30" i="152"/>
  <c r="F30" i="152"/>
  <c r="AE29" i="152"/>
  <c r="F29" i="152"/>
  <c r="AE28" i="152"/>
  <c r="F28" i="152"/>
  <c r="AE27" i="152"/>
  <c r="F27" i="152"/>
  <c r="AE26" i="152"/>
  <c r="F26" i="152"/>
  <c r="AE25" i="152"/>
  <c r="F25" i="152"/>
  <c r="AE24" i="152"/>
  <c r="F24" i="152"/>
  <c r="AE23" i="152"/>
  <c r="F23" i="152"/>
  <c r="AE22" i="152"/>
  <c r="F22" i="152"/>
  <c r="AE21" i="152"/>
  <c r="F21" i="152"/>
  <c r="AE20" i="152"/>
  <c r="F20" i="152"/>
  <c r="AE19" i="152"/>
  <c r="F19" i="152"/>
  <c r="AE18" i="152"/>
  <c r="F18" i="152"/>
  <c r="AE17" i="152"/>
  <c r="F17" i="152"/>
  <c r="AE16" i="152"/>
  <c r="F16" i="152"/>
  <c r="AE15" i="152"/>
  <c r="F15" i="152"/>
  <c r="AE14" i="152"/>
  <c r="F14" i="152"/>
  <c r="AE13" i="152"/>
  <c r="F13" i="152"/>
  <c r="AE12" i="152"/>
  <c r="F12" i="152"/>
  <c r="AE11" i="152"/>
  <c r="F11" i="152"/>
  <c r="AE10" i="152"/>
  <c r="L10" i="152"/>
  <c r="K10" i="152"/>
  <c r="G10" i="152"/>
  <c r="F10" i="152"/>
  <c r="AE9" i="152"/>
  <c r="F9" i="152"/>
  <c r="AE8" i="152"/>
  <c r="F8" i="152"/>
  <c r="AE7" i="152"/>
  <c r="F7" i="152"/>
  <c r="AE6" i="152"/>
  <c r="F6" i="152"/>
  <c r="AE5" i="152"/>
  <c r="F5" i="152"/>
  <c r="AE4" i="152"/>
  <c r="F4" i="152"/>
  <c r="AE3" i="152"/>
  <c r="F3" i="152"/>
  <c r="AJ68" i="151"/>
  <c r="AD64" i="151"/>
  <c r="AC63" i="151"/>
  <c r="AL62" i="151"/>
  <c r="AE62" i="151"/>
  <c r="AL61" i="151"/>
  <c r="AE61" i="151"/>
  <c r="AL60" i="151"/>
  <c r="AE60" i="151"/>
  <c r="AL59" i="151"/>
  <c r="AE59" i="151"/>
  <c r="AL58" i="151"/>
  <c r="AE58" i="151"/>
  <c r="AL57" i="151"/>
  <c r="AJ57" i="151"/>
  <c r="AE57" i="151"/>
  <c r="AL56" i="151"/>
  <c r="AE56" i="151"/>
  <c r="AL55" i="151"/>
  <c r="AE55" i="151"/>
  <c r="AL54" i="151"/>
  <c r="AE54" i="151"/>
  <c r="AL53" i="151"/>
  <c r="AE53" i="151"/>
  <c r="AL52" i="151"/>
  <c r="AE52" i="151"/>
  <c r="AL51" i="151"/>
  <c r="AE51" i="151"/>
  <c r="AL50" i="151"/>
  <c r="AE50" i="151"/>
  <c r="AL49" i="151"/>
  <c r="AE49" i="151"/>
  <c r="AL48" i="151"/>
  <c r="AE48" i="151"/>
  <c r="AL47" i="151"/>
  <c r="AE47" i="151"/>
  <c r="AL46" i="151"/>
  <c r="AE46" i="151"/>
  <c r="AL45" i="151"/>
  <c r="AE45" i="151"/>
  <c r="AL44" i="151"/>
  <c r="AE44" i="151"/>
  <c r="AL43" i="151"/>
  <c r="AJ43" i="151"/>
  <c r="AE43" i="151"/>
  <c r="AL42" i="151"/>
  <c r="AE42" i="151"/>
  <c r="AL41" i="151"/>
  <c r="AE41" i="151"/>
  <c r="AL40" i="151"/>
  <c r="AE40" i="151"/>
  <c r="AL39" i="151"/>
  <c r="AE39" i="151"/>
  <c r="AL38" i="151"/>
  <c r="AE38" i="151"/>
  <c r="AL37" i="151"/>
  <c r="AE37" i="151"/>
  <c r="AL36" i="151"/>
  <c r="AE36" i="151"/>
  <c r="AL35" i="151"/>
  <c r="AE35" i="151"/>
  <c r="G35" i="151"/>
  <c r="B35" i="151"/>
  <c r="AL34" i="151"/>
  <c r="AE34" i="151"/>
  <c r="N34" i="151"/>
  <c r="M34" i="151"/>
  <c r="J34" i="151"/>
  <c r="H34" i="151"/>
  <c r="E34" i="151"/>
  <c r="D34" i="151"/>
  <c r="C34" i="151"/>
  <c r="B34" i="151"/>
  <c r="AL33" i="151"/>
  <c r="AE33" i="151"/>
  <c r="F33" i="151"/>
  <c r="F32" i="151"/>
  <c r="F31" i="151"/>
  <c r="AD30" i="151"/>
  <c r="F30" i="151"/>
  <c r="AE29" i="151"/>
  <c r="F29" i="151"/>
  <c r="AE28" i="151"/>
  <c r="F28" i="151"/>
  <c r="AE27" i="151"/>
  <c r="F27" i="151"/>
  <c r="AE26" i="151"/>
  <c r="F26" i="151"/>
  <c r="AE25" i="151"/>
  <c r="F25" i="151"/>
  <c r="AE24" i="151"/>
  <c r="F24" i="151"/>
  <c r="AE23" i="151"/>
  <c r="F23" i="151"/>
  <c r="AE22" i="151"/>
  <c r="F22" i="151"/>
  <c r="AE21" i="151"/>
  <c r="F21" i="151"/>
  <c r="AE20" i="151"/>
  <c r="F20" i="151"/>
  <c r="AE19" i="151"/>
  <c r="F19" i="151"/>
  <c r="AE18" i="151"/>
  <c r="F18" i="151"/>
  <c r="AE17" i="151"/>
  <c r="G17" i="151"/>
  <c r="F17" i="151"/>
  <c r="AE16" i="151"/>
  <c r="F16" i="151"/>
  <c r="AE15" i="151"/>
  <c r="F15" i="151"/>
  <c r="AE14" i="151"/>
  <c r="F14" i="151"/>
  <c r="AE13" i="151"/>
  <c r="F13" i="151"/>
  <c r="AE12" i="151"/>
  <c r="F12" i="151"/>
  <c r="AE11" i="151"/>
  <c r="F11" i="151"/>
  <c r="AE10" i="151"/>
  <c r="F10" i="151"/>
  <c r="AE9" i="151"/>
  <c r="F9" i="151"/>
  <c r="AE8" i="151"/>
  <c r="F8" i="151"/>
  <c r="AE7" i="151"/>
  <c r="F7" i="151"/>
  <c r="AE6" i="151"/>
  <c r="F6" i="151"/>
  <c r="AE5" i="151"/>
  <c r="F5" i="151"/>
  <c r="AE4" i="151"/>
  <c r="F4" i="151"/>
  <c r="AE3" i="151"/>
  <c r="F3" i="151"/>
  <c r="AJ68" i="150"/>
  <c r="AD64" i="150"/>
  <c r="AC63" i="150"/>
  <c r="AL62" i="150"/>
  <c r="AE62" i="150"/>
  <c r="AL61" i="150"/>
  <c r="AE61" i="150"/>
  <c r="AL60" i="150"/>
  <c r="AE60" i="150"/>
  <c r="AL59" i="150"/>
  <c r="AE59" i="150"/>
  <c r="AL58" i="150"/>
  <c r="AE58" i="150"/>
  <c r="AL57" i="150"/>
  <c r="AE57" i="150"/>
  <c r="AL56" i="150"/>
  <c r="AE56" i="150"/>
  <c r="AL55" i="150"/>
  <c r="AE55" i="150"/>
  <c r="AL54" i="150"/>
  <c r="AE54" i="150"/>
  <c r="AL53" i="150"/>
  <c r="AE53" i="150"/>
  <c r="AL52" i="150"/>
  <c r="AJ52" i="150"/>
  <c r="AE52" i="150"/>
  <c r="AL51" i="150"/>
  <c r="AE51" i="150"/>
  <c r="AL50" i="150"/>
  <c r="AE50" i="150"/>
  <c r="AL49" i="150"/>
  <c r="AE49" i="150"/>
  <c r="AL48" i="150"/>
  <c r="AE48" i="150"/>
  <c r="AL47" i="150"/>
  <c r="AJ47" i="150"/>
  <c r="AE47" i="150"/>
  <c r="AL46" i="150"/>
  <c r="AE46" i="150"/>
  <c r="AL45" i="150"/>
  <c r="AJ45" i="150"/>
  <c r="AE45" i="150"/>
  <c r="AL44" i="150"/>
  <c r="AE44" i="150"/>
  <c r="AL43" i="150"/>
  <c r="AE43" i="150"/>
  <c r="AL42" i="150"/>
  <c r="AE42" i="150"/>
  <c r="AL41" i="150"/>
  <c r="AJ41" i="150"/>
  <c r="AE41" i="150"/>
  <c r="AL40" i="150"/>
  <c r="AE40" i="150"/>
  <c r="AL39" i="150"/>
  <c r="AE39" i="150"/>
  <c r="AL38" i="150"/>
  <c r="AE38" i="150"/>
  <c r="AL37" i="150"/>
  <c r="AJ37" i="150"/>
  <c r="AE37" i="150"/>
  <c r="AL36" i="150"/>
  <c r="AE36" i="150"/>
  <c r="AL35" i="150"/>
  <c r="AE35" i="150"/>
  <c r="G35" i="150"/>
  <c r="B35" i="150"/>
  <c r="AL34" i="150"/>
  <c r="AE34" i="150"/>
  <c r="N34" i="150"/>
  <c r="M34" i="150"/>
  <c r="J34" i="150"/>
  <c r="H34" i="150"/>
  <c r="E34" i="150"/>
  <c r="D34" i="150"/>
  <c r="C34" i="150"/>
  <c r="B34" i="150"/>
  <c r="AL33" i="150"/>
  <c r="AE33" i="150"/>
  <c r="F33" i="150"/>
  <c r="F32" i="150"/>
  <c r="F31" i="150"/>
  <c r="AD30" i="150"/>
  <c r="F30" i="150"/>
  <c r="AE29" i="150"/>
  <c r="F29" i="150"/>
  <c r="AE28" i="150"/>
  <c r="F28" i="150"/>
  <c r="AE27" i="150"/>
  <c r="F27" i="150"/>
  <c r="AE26" i="150"/>
  <c r="F26" i="150"/>
  <c r="AE25" i="150"/>
  <c r="F25" i="150"/>
  <c r="AE24" i="150"/>
  <c r="F24" i="150"/>
  <c r="AE23" i="150"/>
  <c r="F23" i="150"/>
  <c r="AE22" i="150"/>
  <c r="F22" i="150"/>
  <c r="AE21" i="150"/>
  <c r="F21" i="150"/>
  <c r="AE20" i="150"/>
  <c r="F20" i="150"/>
  <c r="AE19" i="150"/>
  <c r="F19" i="150"/>
  <c r="AE18" i="150"/>
  <c r="F18" i="150"/>
  <c r="AE17" i="150"/>
  <c r="F17" i="150"/>
  <c r="AE16" i="150"/>
  <c r="F16" i="150"/>
  <c r="AE15" i="150"/>
  <c r="L15" i="150"/>
  <c r="K15" i="150"/>
  <c r="G15" i="150"/>
  <c r="F15" i="150"/>
  <c r="AE14" i="150"/>
  <c r="F14" i="150"/>
  <c r="AE13" i="150"/>
  <c r="F13" i="150"/>
  <c r="AE12" i="150"/>
  <c r="F12" i="150"/>
  <c r="AE11" i="150"/>
  <c r="F11" i="150"/>
  <c r="AE10" i="150"/>
  <c r="F10" i="150"/>
  <c r="AE9" i="150"/>
  <c r="F9" i="150"/>
  <c r="AE8" i="150"/>
  <c r="F8" i="150"/>
  <c r="AE7" i="150"/>
  <c r="F7" i="150"/>
  <c r="AE6" i="150"/>
  <c r="F6" i="150"/>
  <c r="AE5" i="150"/>
  <c r="F5" i="150"/>
  <c r="AE4" i="150"/>
  <c r="F4" i="150"/>
  <c r="AE3" i="150"/>
  <c r="F3" i="150"/>
  <c r="AJ68" i="149"/>
  <c r="AD64" i="149"/>
  <c r="AC63" i="149"/>
  <c r="AL62" i="149"/>
  <c r="AE62" i="149"/>
  <c r="AL61" i="149"/>
  <c r="AE61" i="149"/>
  <c r="AL60" i="149"/>
  <c r="AE60" i="149"/>
  <c r="AL59" i="149"/>
  <c r="AE59" i="149"/>
  <c r="AL58" i="149"/>
  <c r="AE58" i="149"/>
  <c r="AL57" i="149"/>
  <c r="AE57" i="149"/>
  <c r="AL56" i="149"/>
  <c r="AE56" i="149"/>
  <c r="AL55" i="149"/>
  <c r="AE55" i="149"/>
  <c r="AL54" i="149"/>
  <c r="AE54" i="149"/>
  <c r="AL53" i="149"/>
  <c r="AE53" i="149"/>
  <c r="AL52" i="149"/>
  <c r="AE52" i="149"/>
  <c r="AL51" i="149"/>
  <c r="AE51" i="149"/>
  <c r="AL50" i="149"/>
  <c r="AE50" i="149"/>
  <c r="AL49" i="149"/>
  <c r="AE49" i="149"/>
  <c r="AL48" i="149"/>
  <c r="AE48" i="149"/>
  <c r="AL47" i="149"/>
  <c r="AE47" i="149"/>
  <c r="AL46" i="149"/>
  <c r="AJ46" i="149"/>
  <c r="AE46" i="149"/>
  <c r="AL45" i="149"/>
  <c r="AE45" i="149"/>
  <c r="AL44" i="149"/>
  <c r="AE44" i="149"/>
  <c r="AL43" i="149"/>
  <c r="AE43" i="149"/>
  <c r="AL42" i="149"/>
  <c r="AE42" i="149"/>
  <c r="AL41" i="149"/>
  <c r="AE41" i="149"/>
  <c r="AL40" i="149"/>
  <c r="AE40" i="149"/>
  <c r="AL39" i="149"/>
  <c r="AE39" i="149"/>
  <c r="AL38" i="149"/>
  <c r="AE38" i="149"/>
  <c r="AL37" i="149"/>
  <c r="AE37" i="149"/>
  <c r="AL36" i="149"/>
  <c r="AE36" i="149"/>
  <c r="AL35" i="149"/>
  <c r="AE35" i="149"/>
  <c r="G35" i="149"/>
  <c r="B35" i="149"/>
  <c r="AL34" i="149"/>
  <c r="AE34" i="149"/>
  <c r="N34" i="149"/>
  <c r="M34" i="149"/>
  <c r="J34" i="149"/>
  <c r="H34" i="149"/>
  <c r="E34" i="149"/>
  <c r="D34" i="149"/>
  <c r="C34" i="149"/>
  <c r="B34" i="149"/>
  <c r="AL33" i="149"/>
  <c r="AE33" i="149"/>
  <c r="F33" i="149"/>
  <c r="F32" i="149"/>
  <c r="F31" i="149"/>
  <c r="AD30" i="149"/>
  <c r="F30" i="149"/>
  <c r="AE29" i="149"/>
  <c r="F29" i="149"/>
  <c r="AE28" i="149"/>
  <c r="F28" i="149"/>
  <c r="AE27" i="149"/>
  <c r="F27" i="149"/>
  <c r="AE26" i="149"/>
  <c r="F26" i="149"/>
  <c r="AE25" i="149"/>
  <c r="F25" i="149"/>
  <c r="AE24" i="149"/>
  <c r="F24" i="149"/>
  <c r="AE23" i="149"/>
  <c r="F23" i="149"/>
  <c r="AE22" i="149"/>
  <c r="F22" i="149"/>
  <c r="AE21" i="149"/>
  <c r="F21" i="149"/>
  <c r="AE20" i="149"/>
  <c r="F20" i="149"/>
  <c r="AE19" i="149"/>
  <c r="F19" i="149"/>
  <c r="AE18" i="149"/>
  <c r="F18" i="149"/>
  <c r="AE17" i="149"/>
  <c r="F17" i="149"/>
  <c r="AE16" i="149"/>
  <c r="F16" i="149"/>
  <c r="AE15" i="149"/>
  <c r="F15" i="149"/>
  <c r="AE14" i="149"/>
  <c r="F14" i="149"/>
  <c r="AE13" i="149"/>
  <c r="F13" i="149"/>
  <c r="AE12" i="149"/>
  <c r="F12" i="149"/>
  <c r="AE11" i="149"/>
  <c r="F11" i="149"/>
  <c r="AE10" i="149"/>
  <c r="F10" i="149"/>
  <c r="AE9" i="149"/>
  <c r="F9" i="149"/>
  <c r="AE8" i="149"/>
  <c r="F8" i="149"/>
  <c r="AE7" i="149"/>
  <c r="F7" i="149"/>
  <c r="AE6" i="149"/>
  <c r="F6" i="149"/>
  <c r="AE5" i="149"/>
  <c r="F5" i="149"/>
  <c r="AE4" i="149"/>
  <c r="F4" i="149"/>
  <c r="AE3" i="149"/>
  <c r="F3" i="149"/>
  <c r="AJ68" i="148"/>
  <c r="AD64" i="148"/>
  <c r="AC63" i="148"/>
  <c r="AL62" i="148"/>
  <c r="AJ62" i="148"/>
  <c r="AE62" i="148"/>
  <c r="AL61" i="148"/>
  <c r="AE61" i="148"/>
  <c r="AL60" i="148"/>
  <c r="AE60" i="148"/>
  <c r="AL59" i="148"/>
  <c r="AE59" i="148"/>
  <c r="AL58" i="148"/>
  <c r="AE58" i="148"/>
  <c r="AL57" i="148"/>
  <c r="AE57" i="148"/>
  <c r="AL56" i="148"/>
  <c r="AE56" i="148"/>
  <c r="AL55" i="148"/>
  <c r="AE55" i="148"/>
  <c r="AL54" i="148"/>
  <c r="AE54" i="148"/>
  <c r="AL53" i="148"/>
  <c r="AE53" i="148"/>
  <c r="AL52" i="148"/>
  <c r="AE52" i="148"/>
  <c r="AL51" i="148"/>
  <c r="AE51" i="148"/>
  <c r="AL50" i="148"/>
  <c r="AE50" i="148"/>
  <c r="AL49" i="148"/>
  <c r="AE49" i="148"/>
  <c r="AL48" i="148"/>
  <c r="AE48" i="148"/>
  <c r="AL47" i="148"/>
  <c r="AE47" i="148"/>
  <c r="AL46" i="148"/>
  <c r="AE46" i="148"/>
  <c r="AL45" i="148"/>
  <c r="AE45" i="148"/>
  <c r="AL44" i="148"/>
  <c r="AE44" i="148"/>
  <c r="AL43" i="148"/>
  <c r="AE43" i="148"/>
  <c r="AL42" i="148"/>
  <c r="AE42" i="148"/>
  <c r="AL41" i="148"/>
  <c r="AE41" i="148"/>
  <c r="AL40" i="148"/>
  <c r="AE40" i="148"/>
  <c r="AL39" i="148"/>
  <c r="AE39" i="148"/>
  <c r="AL38" i="148"/>
  <c r="AE38" i="148"/>
  <c r="AL37" i="148"/>
  <c r="AE37" i="148"/>
  <c r="AL36" i="148"/>
  <c r="AE36" i="148"/>
  <c r="AL35" i="148"/>
  <c r="AE35" i="148"/>
  <c r="G35" i="148"/>
  <c r="B35" i="148"/>
  <c r="AL34" i="148"/>
  <c r="AE34" i="148"/>
  <c r="N34" i="148"/>
  <c r="M34" i="148"/>
  <c r="J34" i="148"/>
  <c r="H34" i="148"/>
  <c r="E34" i="148"/>
  <c r="D34" i="148"/>
  <c r="C34" i="148"/>
  <c r="B34" i="148"/>
  <c r="AL33" i="148"/>
  <c r="AE33" i="148"/>
  <c r="F33" i="148"/>
  <c r="F32" i="148"/>
  <c r="F31" i="148"/>
  <c r="AD30" i="148"/>
  <c r="F30" i="148"/>
  <c r="AE29" i="148"/>
  <c r="G29" i="148"/>
  <c r="F29" i="148"/>
  <c r="AE28" i="148"/>
  <c r="F28" i="148"/>
  <c r="AE27" i="148"/>
  <c r="F27" i="148"/>
  <c r="AE26" i="148"/>
  <c r="F26" i="148"/>
  <c r="AE25" i="148"/>
  <c r="F25" i="148"/>
  <c r="AE24" i="148"/>
  <c r="F24" i="148"/>
  <c r="AE23" i="148"/>
  <c r="F23" i="148"/>
  <c r="AE22" i="148"/>
  <c r="F22" i="148"/>
  <c r="AE21" i="148"/>
  <c r="F21" i="148"/>
  <c r="AE20" i="148"/>
  <c r="L20" i="148"/>
  <c r="K20" i="148"/>
  <c r="G20" i="148"/>
  <c r="F20" i="148"/>
  <c r="AE19" i="148"/>
  <c r="F19" i="148"/>
  <c r="AE18" i="148"/>
  <c r="F18" i="148"/>
  <c r="AE17" i="148"/>
  <c r="F17" i="148"/>
  <c r="AE16" i="148"/>
  <c r="F16" i="148"/>
  <c r="AE15" i="148"/>
  <c r="F15" i="148"/>
  <c r="AE14" i="148"/>
  <c r="F14" i="148"/>
  <c r="AE13" i="148"/>
  <c r="F13" i="148"/>
  <c r="AE12" i="148"/>
  <c r="F12" i="148"/>
  <c r="AE11" i="148"/>
  <c r="F11" i="148"/>
  <c r="AE10" i="148"/>
  <c r="F10" i="148"/>
  <c r="AE9" i="148"/>
  <c r="F9" i="148"/>
  <c r="AE8" i="148"/>
  <c r="F8" i="148"/>
  <c r="AE7" i="148"/>
  <c r="F7" i="148"/>
  <c r="AE6" i="148"/>
  <c r="F6" i="148"/>
  <c r="AE5" i="148"/>
  <c r="F5" i="148"/>
  <c r="AE4" i="148"/>
  <c r="F4" i="148"/>
  <c r="AE3" i="148"/>
  <c r="F3" i="148"/>
  <c r="AJ68" i="147"/>
  <c r="AD64" i="147"/>
  <c r="AC63" i="147"/>
  <c r="AL62" i="147"/>
  <c r="AE62" i="147"/>
  <c r="AL61" i="147"/>
  <c r="AE61" i="147"/>
  <c r="AL60" i="147"/>
  <c r="AE60" i="147"/>
  <c r="AL59" i="147"/>
  <c r="AE59" i="147"/>
  <c r="AL58" i="147"/>
  <c r="AE58" i="147"/>
  <c r="AL57" i="147"/>
  <c r="AE57" i="147"/>
  <c r="AL56" i="147"/>
  <c r="AE56" i="147"/>
  <c r="AL55" i="147"/>
  <c r="AE55" i="147"/>
  <c r="AL54" i="147"/>
  <c r="AE54" i="147"/>
  <c r="AL53" i="147"/>
  <c r="AE53" i="147"/>
  <c r="AL52" i="147"/>
  <c r="AE52" i="147"/>
  <c r="AL51" i="147"/>
  <c r="AE51" i="147"/>
  <c r="AL50" i="147"/>
  <c r="AE50" i="147"/>
  <c r="AL49" i="147"/>
  <c r="AE49" i="147"/>
  <c r="AL48" i="147"/>
  <c r="AE48" i="147"/>
  <c r="AL47" i="147"/>
  <c r="AE47" i="147"/>
  <c r="AL46" i="147"/>
  <c r="AE46" i="147"/>
  <c r="AL45" i="147"/>
  <c r="AE45" i="147"/>
  <c r="AL44" i="147"/>
  <c r="AE44" i="147"/>
  <c r="AL43" i="147"/>
  <c r="AE43" i="147"/>
  <c r="AL42" i="147"/>
  <c r="AE42" i="147"/>
  <c r="AL41" i="147"/>
  <c r="AE41" i="147"/>
  <c r="AL40" i="147"/>
  <c r="AE40" i="147"/>
  <c r="AL39" i="147"/>
  <c r="AE39" i="147"/>
  <c r="AL38" i="147"/>
  <c r="AE38" i="147"/>
  <c r="AL37" i="147"/>
  <c r="AE37" i="147"/>
  <c r="AL36" i="147"/>
  <c r="AE36" i="147"/>
  <c r="AL35" i="147"/>
  <c r="AE35" i="147"/>
  <c r="G35" i="147"/>
  <c r="B35" i="147"/>
  <c r="AL34" i="147"/>
  <c r="AE34" i="147"/>
  <c r="N34" i="147"/>
  <c r="M34" i="147"/>
  <c r="J34" i="147"/>
  <c r="H34" i="147"/>
  <c r="E34" i="147"/>
  <c r="D34" i="147"/>
  <c r="C34" i="147"/>
  <c r="B34" i="147"/>
  <c r="AL33" i="147"/>
  <c r="AE33" i="147"/>
  <c r="F33" i="147"/>
  <c r="F32" i="147"/>
  <c r="F31" i="147"/>
  <c r="AD30" i="147"/>
  <c r="F30" i="147"/>
  <c r="AE29" i="147"/>
  <c r="F29" i="147"/>
  <c r="AE28" i="147"/>
  <c r="G28" i="147"/>
  <c r="F28" i="147"/>
  <c r="AE27" i="147"/>
  <c r="F27" i="147"/>
  <c r="AE26" i="147"/>
  <c r="F26" i="147"/>
  <c r="AE25" i="147"/>
  <c r="F25" i="147"/>
  <c r="AE24" i="147"/>
  <c r="F24" i="147"/>
  <c r="AE23" i="147"/>
  <c r="F23" i="147"/>
  <c r="AE22" i="147"/>
  <c r="F22" i="147"/>
  <c r="AE21" i="147"/>
  <c r="F21" i="147"/>
  <c r="AE20" i="147"/>
  <c r="F20" i="147"/>
  <c r="AE19" i="147"/>
  <c r="F19" i="147"/>
  <c r="AE18" i="147"/>
  <c r="F18" i="147"/>
  <c r="AE17" i="147"/>
  <c r="F17" i="147"/>
  <c r="AE16" i="147"/>
  <c r="F16" i="147"/>
  <c r="AE15" i="147"/>
  <c r="F15" i="147"/>
  <c r="AE14" i="147"/>
  <c r="F14" i="147"/>
  <c r="AE13" i="147"/>
  <c r="F13" i="147"/>
  <c r="AE12" i="147"/>
  <c r="F12" i="147"/>
  <c r="AE11" i="147"/>
  <c r="F11" i="147"/>
  <c r="AE10" i="147"/>
  <c r="F10" i="147"/>
  <c r="AE9" i="147"/>
  <c r="F9" i="147"/>
  <c r="AE8" i="147"/>
  <c r="F8" i="147"/>
  <c r="AE7" i="147"/>
  <c r="F7" i="147"/>
  <c r="AE6" i="147"/>
  <c r="F6" i="147"/>
  <c r="AE5" i="147"/>
  <c r="F5" i="147"/>
  <c r="AE4" i="147"/>
  <c r="F4" i="147"/>
  <c r="AE3" i="147"/>
  <c r="F3" i="147"/>
  <c r="AD64" i="146"/>
  <c r="AD68" i="146" s="1"/>
  <c r="AC63" i="146"/>
  <c r="AL63" i="146" s="1"/>
  <c r="AL62" i="146"/>
  <c r="AE62" i="146"/>
  <c r="AL61" i="146"/>
  <c r="AE61" i="146"/>
  <c r="AL60" i="146"/>
  <c r="AE60" i="146"/>
  <c r="AL59" i="146"/>
  <c r="AE59" i="146"/>
  <c r="AJ59" i="146" s="1"/>
  <c r="AL58" i="146"/>
  <c r="AE58" i="146"/>
  <c r="AL57" i="146"/>
  <c r="AE57" i="146"/>
  <c r="AL56" i="146"/>
  <c r="AE56" i="146"/>
  <c r="AL55" i="146"/>
  <c r="AE55" i="146"/>
  <c r="AJ55" i="146" s="1"/>
  <c r="AL54" i="146"/>
  <c r="AE54" i="146"/>
  <c r="AL53" i="146"/>
  <c r="AE53" i="146"/>
  <c r="AL52" i="146"/>
  <c r="AE52" i="146"/>
  <c r="AL51" i="146"/>
  <c r="AE51" i="146"/>
  <c r="AJ51" i="146" s="1"/>
  <c r="AL50" i="146"/>
  <c r="AE50" i="146"/>
  <c r="AL49" i="146"/>
  <c r="AE49" i="146"/>
  <c r="AL48" i="146"/>
  <c r="AE48" i="146"/>
  <c r="AL47" i="146"/>
  <c r="AE47" i="146"/>
  <c r="AJ47" i="146" s="1"/>
  <c r="AL46" i="146"/>
  <c r="AE46" i="146"/>
  <c r="AL45" i="146"/>
  <c r="AE45" i="146"/>
  <c r="AL44" i="146"/>
  <c r="AE44" i="146"/>
  <c r="AL43" i="146"/>
  <c r="AE43" i="146"/>
  <c r="AL42" i="146"/>
  <c r="AE42" i="146"/>
  <c r="AL41" i="146"/>
  <c r="AE41" i="146"/>
  <c r="AJ41" i="146" s="1"/>
  <c r="AL40" i="146"/>
  <c r="AE40" i="146"/>
  <c r="AJ40" i="146" s="1"/>
  <c r="AL39" i="146"/>
  <c r="AE39" i="146"/>
  <c r="AL38" i="146"/>
  <c r="AE38" i="146"/>
  <c r="AL37" i="146"/>
  <c r="AE37" i="146"/>
  <c r="AJ37" i="146" s="1"/>
  <c r="AL36" i="146"/>
  <c r="AE36" i="146"/>
  <c r="AL35" i="146"/>
  <c r="AE35" i="146"/>
  <c r="AJ35" i="146" s="1"/>
  <c r="G35" i="146"/>
  <c r="B35" i="146"/>
  <c r="AL34" i="146"/>
  <c r="AE34" i="146"/>
  <c r="AJ34" i="146" s="1"/>
  <c r="N34" i="146"/>
  <c r="M34" i="146"/>
  <c r="N35" i="146" s="1"/>
  <c r="J34" i="146"/>
  <c r="H34" i="146"/>
  <c r="E34" i="146"/>
  <c r="E35" i="146" s="1"/>
  <c r="D34" i="146"/>
  <c r="D35" i="146" s="1"/>
  <c r="C34" i="146"/>
  <c r="B34" i="146"/>
  <c r="AL33" i="146"/>
  <c r="AE33" i="146"/>
  <c r="F33" i="146"/>
  <c r="F32" i="146"/>
  <c r="K32" i="146" s="1"/>
  <c r="F31" i="146"/>
  <c r="L31" i="146" s="1"/>
  <c r="AD30" i="146"/>
  <c r="AD67" i="146" s="1"/>
  <c r="F30" i="146"/>
  <c r="AE29" i="146"/>
  <c r="F29" i="146"/>
  <c r="L29" i="146" s="1"/>
  <c r="AE28" i="146"/>
  <c r="AJ28" i="146" s="1"/>
  <c r="F28" i="146"/>
  <c r="L28" i="146" s="1"/>
  <c r="AE27" i="146"/>
  <c r="F27" i="146"/>
  <c r="K27" i="146" s="1"/>
  <c r="AE26" i="146"/>
  <c r="F26" i="146"/>
  <c r="AE25" i="146"/>
  <c r="F25" i="146"/>
  <c r="L25" i="146" s="1"/>
  <c r="AE24" i="146"/>
  <c r="AJ24" i="146" s="1"/>
  <c r="F24" i="146"/>
  <c r="L24" i="146" s="1"/>
  <c r="AE23" i="146"/>
  <c r="F23" i="146"/>
  <c r="K23" i="146" s="1"/>
  <c r="AE22" i="146"/>
  <c r="F22" i="146"/>
  <c r="AE21" i="146"/>
  <c r="F21" i="146"/>
  <c r="L21" i="146" s="1"/>
  <c r="AE20" i="146"/>
  <c r="AJ20" i="146" s="1"/>
  <c r="F20" i="146"/>
  <c r="L20" i="146" s="1"/>
  <c r="AE19" i="146"/>
  <c r="F19" i="146"/>
  <c r="K19" i="146" s="1"/>
  <c r="AE18" i="146"/>
  <c r="F18" i="146"/>
  <c r="K18" i="146" s="1"/>
  <c r="AE17" i="146"/>
  <c r="F17" i="146"/>
  <c r="L17" i="146" s="1"/>
  <c r="AE16" i="146"/>
  <c r="AJ16" i="146" s="1"/>
  <c r="F16" i="146"/>
  <c r="L16" i="146" s="1"/>
  <c r="AE15" i="146"/>
  <c r="F15" i="146"/>
  <c r="K15" i="146" s="1"/>
  <c r="AE14" i="146"/>
  <c r="F14" i="146"/>
  <c r="AE13" i="146"/>
  <c r="F13" i="146"/>
  <c r="L13" i="146" s="1"/>
  <c r="AE12" i="146"/>
  <c r="AJ12" i="146" s="1"/>
  <c r="F12" i="146"/>
  <c r="L12" i="146" s="1"/>
  <c r="AE11" i="146"/>
  <c r="F11" i="146"/>
  <c r="K11" i="146" s="1"/>
  <c r="AE10" i="146"/>
  <c r="F10" i="146"/>
  <c r="L10" i="146" s="1"/>
  <c r="AE9" i="146"/>
  <c r="AJ9" i="146" s="1"/>
  <c r="F9" i="146"/>
  <c r="L9" i="146" s="1"/>
  <c r="AE8" i="146"/>
  <c r="F8" i="146"/>
  <c r="K8" i="146" s="1"/>
  <c r="AE7" i="146"/>
  <c r="F7" i="146"/>
  <c r="L7" i="146" s="1"/>
  <c r="AE6" i="146"/>
  <c r="F6" i="146"/>
  <c r="K6" i="146" s="1"/>
  <c r="AE5" i="146"/>
  <c r="F5" i="146"/>
  <c r="L5" i="146" s="1"/>
  <c r="AE4" i="146"/>
  <c r="AJ4" i="146" s="1"/>
  <c r="F4" i="146"/>
  <c r="AE3" i="146"/>
  <c r="F3" i="146"/>
  <c r="G3" i="146" s="1"/>
  <c r="AD64" i="145"/>
  <c r="AD68" i="145" s="1"/>
  <c r="AC63" i="145"/>
  <c r="AL63" i="145" s="1"/>
  <c r="AL62" i="145"/>
  <c r="AE62" i="145"/>
  <c r="AL61" i="145"/>
  <c r="AE61" i="145"/>
  <c r="AL60" i="145"/>
  <c r="AE60" i="145"/>
  <c r="AJ60" i="145" s="1"/>
  <c r="AL59" i="145"/>
  <c r="AE59" i="145"/>
  <c r="AJ59" i="145" s="1"/>
  <c r="AL58" i="145"/>
  <c r="AE58" i="145"/>
  <c r="AL57" i="145"/>
  <c r="AE57" i="145"/>
  <c r="AL56" i="145"/>
  <c r="AE56" i="145"/>
  <c r="AJ56" i="145" s="1"/>
  <c r="AL55" i="145"/>
  <c r="AE55" i="145"/>
  <c r="AJ55" i="145" s="1"/>
  <c r="AL54" i="145"/>
  <c r="AE54" i="145"/>
  <c r="AL53" i="145"/>
  <c r="AE53" i="145"/>
  <c r="AL52" i="145"/>
  <c r="AE52" i="145"/>
  <c r="AJ52" i="145" s="1"/>
  <c r="AL51" i="145"/>
  <c r="AE51" i="145"/>
  <c r="AJ51" i="145" s="1"/>
  <c r="AL50" i="145"/>
  <c r="AE50" i="145"/>
  <c r="AL49" i="145"/>
  <c r="AE49" i="145"/>
  <c r="AL48" i="145"/>
  <c r="AE48" i="145"/>
  <c r="AJ48" i="145" s="1"/>
  <c r="AL47" i="145"/>
  <c r="AE47" i="145"/>
  <c r="AJ47" i="145" s="1"/>
  <c r="AL46" i="145"/>
  <c r="AE46" i="145"/>
  <c r="AL45" i="145"/>
  <c r="AE45" i="145"/>
  <c r="AL44" i="145"/>
  <c r="AE44" i="145"/>
  <c r="AL43" i="145"/>
  <c r="AE43" i="145"/>
  <c r="AJ43" i="145" s="1"/>
  <c r="AL42" i="145"/>
  <c r="AE42" i="145"/>
  <c r="AJ42" i="145" s="1"/>
  <c r="AL41" i="145"/>
  <c r="AE41" i="145"/>
  <c r="AJ41" i="145" s="1"/>
  <c r="AL40" i="145"/>
  <c r="AE40" i="145"/>
  <c r="AJ40" i="145" s="1"/>
  <c r="AL39" i="145"/>
  <c r="AE39" i="145"/>
  <c r="AJ39" i="145" s="1"/>
  <c r="AL38" i="145"/>
  <c r="AE38" i="145"/>
  <c r="AL37" i="145"/>
  <c r="AE37" i="145"/>
  <c r="AJ37" i="145" s="1"/>
  <c r="AL36" i="145"/>
  <c r="AE36" i="145"/>
  <c r="AL35" i="145"/>
  <c r="AE35" i="145"/>
  <c r="AJ35" i="145" s="1"/>
  <c r="G35" i="145"/>
  <c r="B35" i="145"/>
  <c r="AL34" i="145"/>
  <c r="AE34" i="145"/>
  <c r="AJ34" i="145" s="1"/>
  <c r="N34" i="145"/>
  <c r="M34" i="145"/>
  <c r="N35" i="145" s="1"/>
  <c r="J34" i="145"/>
  <c r="H34" i="145"/>
  <c r="E34" i="145"/>
  <c r="E35" i="145" s="1"/>
  <c r="E36" i="145" s="1"/>
  <c r="D34" i="145"/>
  <c r="D35" i="145" s="1"/>
  <c r="C34" i="145"/>
  <c r="B34" i="145"/>
  <c r="AL33" i="145"/>
  <c r="AE33" i="145"/>
  <c r="AJ33" i="145" s="1"/>
  <c r="F33" i="145"/>
  <c r="F32" i="145"/>
  <c r="K32" i="145" s="1"/>
  <c r="F31" i="145"/>
  <c r="L31" i="145" s="1"/>
  <c r="AD30" i="145"/>
  <c r="AD67" i="145" s="1"/>
  <c r="F30" i="145"/>
  <c r="AE29" i="145"/>
  <c r="AJ29" i="145" s="1"/>
  <c r="F29" i="145"/>
  <c r="L29" i="145" s="1"/>
  <c r="AE28" i="145"/>
  <c r="AJ28" i="145" s="1"/>
  <c r="F28" i="145"/>
  <c r="L28" i="145" s="1"/>
  <c r="AE27" i="145"/>
  <c r="F27" i="145"/>
  <c r="K27" i="145" s="1"/>
  <c r="AE26" i="145"/>
  <c r="F26" i="145"/>
  <c r="AE25" i="145"/>
  <c r="AJ25" i="145" s="1"/>
  <c r="F25" i="145"/>
  <c r="L25" i="145" s="1"/>
  <c r="AE24" i="145"/>
  <c r="AJ24" i="145" s="1"/>
  <c r="F24" i="145"/>
  <c r="L24" i="145" s="1"/>
  <c r="AE23" i="145"/>
  <c r="F23" i="145"/>
  <c r="K23" i="145" s="1"/>
  <c r="AE22" i="145"/>
  <c r="L22" i="145"/>
  <c r="K22" i="145"/>
  <c r="G22" i="145"/>
  <c r="F22" i="145"/>
  <c r="AE21" i="145"/>
  <c r="AJ21" i="145" s="1"/>
  <c r="F21" i="145"/>
  <c r="L21" i="145" s="1"/>
  <c r="AE20" i="145"/>
  <c r="AJ20" i="145" s="1"/>
  <c r="F20" i="145"/>
  <c r="L20" i="145" s="1"/>
  <c r="AE19" i="145"/>
  <c r="F19" i="145"/>
  <c r="G19" i="145" s="1"/>
  <c r="AE18" i="145"/>
  <c r="F18" i="145"/>
  <c r="AE17" i="145"/>
  <c r="AJ17" i="145" s="1"/>
  <c r="F17" i="145"/>
  <c r="L17" i="145" s="1"/>
  <c r="AE16" i="145"/>
  <c r="AJ16" i="145" s="1"/>
  <c r="F16" i="145"/>
  <c r="L16" i="145" s="1"/>
  <c r="AJ15" i="145"/>
  <c r="AE15" i="145"/>
  <c r="F15" i="145"/>
  <c r="K15" i="145" s="1"/>
  <c r="AE14" i="145"/>
  <c r="F14" i="145"/>
  <c r="AE13" i="145"/>
  <c r="AJ13" i="145" s="1"/>
  <c r="F13" i="145"/>
  <c r="L13" i="145" s="1"/>
  <c r="AE12" i="145"/>
  <c r="AJ12" i="145" s="1"/>
  <c r="F12" i="145"/>
  <c r="L12" i="145" s="1"/>
  <c r="AE11" i="145"/>
  <c r="F11" i="145"/>
  <c r="K11" i="145" s="1"/>
  <c r="AE10" i="145"/>
  <c r="F10" i="145"/>
  <c r="AE9" i="145"/>
  <c r="AJ9" i="145" s="1"/>
  <c r="F9" i="145"/>
  <c r="L9" i="145" s="1"/>
  <c r="AE8" i="145"/>
  <c r="F8" i="145"/>
  <c r="K8" i="145" s="1"/>
  <c r="AE7" i="145"/>
  <c r="F7" i="145"/>
  <c r="L7" i="145" s="1"/>
  <c r="AE6" i="145"/>
  <c r="F6" i="145"/>
  <c r="K6" i="145" s="1"/>
  <c r="AE5" i="145"/>
  <c r="F5" i="145"/>
  <c r="L5" i="145" s="1"/>
  <c r="AE4" i="145"/>
  <c r="AJ4" i="145" s="1"/>
  <c r="F4" i="145"/>
  <c r="AE3" i="145"/>
  <c r="F3" i="145"/>
  <c r="AD64" i="144"/>
  <c r="AD68" i="144" s="1"/>
  <c r="AC63" i="144"/>
  <c r="AL63" i="144" s="1"/>
  <c r="AL62" i="144"/>
  <c r="AE62" i="144"/>
  <c r="AL61" i="144"/>
  <c r="AE61" i="144"/>
  <c r="AL60" i="144"/>
  <c r="AE60" i="144"/>
  <c r="AJ60" i="144" s="1"/>
  <c r="AL59" i="144"/>
  <c r="AE59" i="144"/>
  <c r="AJ59" i="144" s="1"/>
  <c r="AL58" i="144"/>
  <c r="AJ58" i="144"/>
  <c r="AE58" i="144"/>
  <c r="AL57" i="144"/>
  <c r="AE57" i="144"/>
  <c r="AL56" i="144"/>
  <c r="AE56" i="144"/>
  <c r="AJ56" i="144" s="1"/>
  <c r="AL55" i="144"/>
  <c r="AE55" i="144"/>
  <c r="AJ55" i="144" s="1"/>
  <c r="AL54" i="144"/>
  <c r="AE54" i="144"/>
  <c r="AL53" i="144"/>
  <c r="AE53" i="144"/>
  <c r="AL52" i="144"/>
  <c r="AE52" i="144"/>
  <c r="AJ52" i="144" s="1"/>
  <c r="AL51" i="144"/>
  <c r="AE51" i="144"/>
  <c r="AJ51" i="144" s="1"/>
  <c r="AL50" i="144"/>
  <c r="AE50" i="144"/>
  <c r="AL49" i="144"/>
  <c r="AE49" i="144"/>
  <c r="AL48" i="144"/>
  <c r="AE48" i="144"/>
  <c r="AJ48" i="144" s="1"/>
  <c r="AL47" i="144"/>
  <c r="AE47" i="144"/>
  <c r="AL46" i="144"/>
  <c r="AE46" i="144"/>
  <c r="AL45" i="144"/>
  <c r="AE45" i="144"/>
  <c r="AL44" i="144"/>
  <c r="AE44" i="144"/>
  <c r="AJ44" i="144" s="1"/>
  <c r="AL43" i="144"/>
  <c r="AE43" i="144"/>
  <c r="AJ43" i="144" s="1"/>
  <c r="AL42" i="144"/>
  <c r="AE42" i="144"/>
  <c r="AJ42" i="144" s="1"/>
  <c r="AL41" i="144"/>
  <c r="AE41" i="144"/>
  <c r="AJ41" i="144" s="1"/>
  <c r="AL40" i="144"/>
  <c r="AE40" i="144"/>
  <c r="AJ40" i="144" s="1"/>
  <c r="AL39" i="144"/>
  <c r="AE39" i="144"/>
  <c r="AJ39" i="144" s="1"/>
  <c r="AL38" i="144"/>
  <c r="AE38" i="144"/>
  <c r="AL37" i="144"/>
  <c r="AE37" i="144"/>
  <c r="AJ37" i="144" s="1"/>
  <c r="AL36" i="144"/>
  <c r="AE36" i="144"/>
  <c r="AL35" i="144"/>
  <c r="AE35" i="144"/>
  <c r="AJ35" i="144" s="1"/>
  <c r="G35" i="144"/>
  <c r="B35" i="144"/>
  <c r="AL34" i="144"/>
  <c r="AE34" i="144"/>
  <c r="AJ34" i="144" s="1"/>
  <c r="N34" i="144"/>
  <c r="M34" i="144"/>
  <c r="J34" i="144"/>
  <c r="H34" i="144"/>
  <c r="E34" i="144"/>
  <c r="D34" i="144"/>
  <c r="D35" i="144" s="1"/>
  <c r="D36" i="144" s="1"/>
  <c r="C34" i="144"/>
  <c r="B34" i="144"/>
  <c r="AL33" i="144"/>
  <c r="AE33" i="144"/>
  <c r="AJ33" i="144" s="1"/>
  <c r="F33" i="144"/>
  <c r="L32" i="144"/>
  <c r="F32" i="144"/>
  <c r="G32" i="144" s="1"/>
  <c r="F31" i="144"/>
  <c r="L31" i="144" s="1"/>
  <c r="AD30" i="144"/>
  <c r="AD67" i="144" s="1"/>
  <c r="AD69" i="144" s="1"/>
  <c r="F30" i="144"/>
  <c r="AE29" i="144"/>
  <c r="AJ29" i="144" s="1"/>
  <c r="F29" i="144"/>
  <c r="K29" i="144" s="1"/>
  <c r="AE28" i="144"/>
  <c r="AJ28" i="144" s="1"/>
  <c r="F28" i="144"/>
  <c r="L28" i="144" s="1"/>
  <c r="AE27" i="144"/>
  <c r="F27" i="144"/>
  <c r="G27" i="144" s="1"/>
  <c r="AE26" i="144"/>
  <c r="F26" i="144"/>
  <c r="AE25" i="144"/>
  <c r="AJ25" i="144" s="1"/>
  <c r="F25" i="144"/>
  <c r="K25" i="144" s="1"/>
  <c r="AE24" i="144"/>
  <c r="AJ24" i="144" s="1"/>
  <c r="F24" i="144"/>
  <c r="L24" i="144" s="1"/>
  <c r="AE23" i="144"/>
  <c r="F23" i="144"/>
  <c r="G23" i="144" s="1"/>
  <c r="AE22" i="144"/>
  <c r="F22" i="144"/>
  <c r="AE21" i="144"/>
  <c r="AJ21" i="144" s="1"/>
  <c r="F21" i="144"/>
  <c r="K21" i="144" s="1"/>
  <c r="AE20" i="144"/>
  <c r="AJ20" i="144" s="1"/>
  <c r="F20" i="144"/>
  <c r="L20" i="144" s="1"/>
  <c r="AE19" i="144"/>
  <c r="F19" i="144"/>
  <c r="G19" i="144" s="1"/>
  <c r="AE18" i="144"/>
  <c r="F18" i="144"/>
  <c r="AE17" i="144"/>
  <c r="AJ17" i="144" s="1"/>
  <c r="F17" i="144"/>
  <c r="K17" i="144" s="1"/>
  <c r="AE16" i="144"/>
  <c r="AJ16" i="144" s="1"/>
  <c r="F16" i="144"/>
  <c r="L16" i="144" s="1"/>
  <c r="AE15" i="144"/>
  <c r="K15" i="144"/>
  <c r="F15" i="144"/>
  <c r="G15" i="144" s="1"/>
  <c r="AE14" i="144"/>
  <c r="F14" i="144"/>
  <c r="L14" i="144" s="1"/>
  <c r="AE13" i="144"/>
  <c r="AJ13" i="144" s="1"/>
  <c r="F13" i="144"/>
  <c r="K13" i="144" s="1"/>
  <c r="AE12" i="144"/>
  <c r="AJ12" i="144" s="1"/>
  <c r="F12" i="144"/>
  <c r="L12" i="144" s="1"/>
  <c r="AE11" i="144"/>
  <c r="F11" i="144"/>
  <c r="G11" i="144" s="1"/>
  <c r="AE10" i="144"/>
  <c r="AJ10" i="144" s="1"/>
  <c r="F10" i="144"/>
  <c r="L10" i="144" s="1"/>
  <c r="AE9" i="144"/>
  <c r="AJ9" i="144" s="1"/>
  <c r="F9" i="144"/>
  <c r="K9" i="144" s="1"/>
  <c r="AE8" i="144"/>
  <c r="F8" i="144"/>
  <c r="G8" i="144" s="1"/>
  <c r="AE7" i="144"/>
  <c r="F7" i="144"/>
  <c r="K7" i="144" s="1"/>
  <c r="AE6" i="144"/>
  <c r="F6" i="144"/>
  <c r="G6" i="144" s="1"/>
  <c r="AE5" i="144"/>
  <c r="F5" i="144"/>
  <c r="K5" i="144" s="1"/>
  <c r="AE4" i="144"/>
  <c r="AJ4" i="144" s="1"/>
  <c r="F4" i="144"/>
  <c r="L4" i="144" s="1"/>
  <c r="AE3" i="144"/>
  <c r="G3" i="144"/>
  <c r="F3" i="144"/>
  <c r="AD64" i="143"/>
  <c r="AD68" i="143" s="1"/>
  <c r="AL62" i="143"/>
  <c r="AC63" i="143"/>
  <c r="AL63" i="143" s="1"/>
  <c r="AL61" i="143"/>
  <c r="AE62" i="143"/>
  <c r="AJ62" i="143" s="1"/>
  <c r="AL60" i="143"/>
  <c r="AE61" i="143"/>
  <c r="AL59" i="143"/>
  <c r="AE60" i="143"/>
  <c r="AL58" i="143"/>
  <c r="AE59" i="143"/>
  <c r="AJ59" i="143" s="1"/>
  <c r="AL57" i="143"/>
  <c r="AE58" i="143"/>
  <c r="AJ58" i="143" s="1"/>
  <c r="AL56" i="143"/>
  <c r="AE57" i="143"/>
  <c r="AL55" i="143"/>
  <c r="AE56" i="143"/>
  <c r="AL54" i="143"/>
  <c r="AE55" i="143"/>
  <c r="AJ55" i="143" s="1"/>
  <c r="AL53" i="143"/>
  <c r="AE54" i="143"/>
  <c r="AJ54" i="143" s="1"/>
  <c r="AL52" i="143"/>
  <c r="AE53" i="143"/>
  <c r="AL51" i="143"/>
  <c r="AE52" i="143"/>
  <c r="AL50" i="143"/>
  <c r="AE51" i="143"/>
  <c r="AJ51" i="143" s="1"/>
  <c r="AL49" i="143"/>
  <c r="AE50" i="143"/>
  <c r="AJ50" i="143" s="1"/>
  <c r="AL48" i="143"/>
  <c r="AE49" i="143"/>
  <c r="AL47" i="143"/>
  <c r="AE48" i="143"/>
  <c r="AL46" i="143"/>
  <c r="AE47" i="143"/>
  <c r="AJ47" i="143" s="1"/>
  <c r="AL45" i="143"/>
  <c r="AE46" i="143"/>
  <c r="AJ46" i="143" s="1"/>
  <c r="AL44" i="143"/>
  <c r="AE45" i="143"/>
  <c r="AL43" i="143"/>
  <c r="AE44" i="143"/>
  <c r="AL42" i="143"/>
  <c r="AE43" i="143"/>
  <c r="AL41" i="143"/>
  <c r="D12" i="141" s="1"/>
  <c r="AE42" i="143"/>
  <c r="AL40" i="143"/>
  <c r="D11" i="141" s="1"/>
  <c r="AE41" i="143"/>
  <c r="AJ41" i="143" s="1"/>
  <c r="AL39" i="143"/>
  <c r="D10" i="141" s="1"/>
  <c r="AE40" i="143"/>
  <c r="AJ40" i="143" s="1"/>
  <c r="AL38" i="143"/>
  <c r="D9" i="141" s="1"/>
  <c r="AE39" i="143"/>
  <c r="AJ39" i="143" s="1"/>
  <c r="AL37" i="143"/>
  <c r="D8" i="141" s="1"/>
  <c r="AE38" i="143"/>
  <c r="AL36" i="143"/>
  <c r="D7" i="141" s="1"/>
  <c r="AE37" i="143"/>
  <c r="AJ37" i="143" s="1"/>
  <c r="AL35" i="143"/>
  <c r="D6" i="141" s="1"/>
  <c r="AE36" i="143"/>
  <c r="AL34" i="143"/>
  <c r="D5" i="141" s="1"/>
  <c r="AE35" i="143"/>
  <c r="AJ35" i="143" s="1"/>
  <c r="G35" i="143"/>
  <c r="B35" i="143"/>
  <c r="AL33" i="143"/>
  <c r="AE34" i="143"/>
  <c r="AJ34" i="143" s="1"/>
  <c r="N34" i="143"/>
  <c r="M34" i="143"/>
  <c r="N35" i="143" s="1"/>
  <c r="J34" i="143"/>
  <c r="H34" i="143"/>
  <c r="E34" i="143"/>
  <c r="E35" i="143" s="1"/>
  <c r="D34" i="143"/>
  <c r="C34" i="143"/>
  <c r="C35" i="143" s="1"/>
  <c r="B34" i="143"/>
  <c r="AE33" i="143"/>
  <c r="AJ33" i="143" s="1"/>
  <c r="F33" i="143"/>
  <c r="F32" i="143"/>
  <c r="K32" i="143" s="1"/>
  <c r="F31" i="143"/>
  <c r="L31" i="143" s="1"/>
  <c r="AD30" i="143"/>
  <c r="AD67" i="143" s="1"/>
  <c r="F30" i="143"/>
  <c r="AE29" i="143"/>
  <c r="AJ29" i="143" s="1"/>
  <c r="F29" i="143"/>
  <c r="L29" i="143" s="1"/>
  <c r="AE28" i="143"/>
  <c r="AJ28" i="143" s="1"/>
  <c r="F28" i="143"/>
  <c r="L28" i="143" s="1"/>
  <c r="AE27" i="143"/>
  <c r="F27" i="143"/>
  <c r="K27" i="143" s="1"/>
  <c r="AE26" i="143"/>
  <c r="F26" i="143"/>
  <c r="AE25" i="143"/>
  <c r="AJ25" i="143" s="1"/>
  <c r="F25" i="143"/>
  <c r="L25" i="143" s="1"/>
  <c r="AE24" i="143"/>
  <c r="AJ24" i="143" s="1"/>
  <c r="F24" i="143"/>
  <c r="L24" i="143" s="1"/>
  <c r="AE23" i="143"/>
  <c r="F23" i="143"/>
  <c r="K23" i="143" s="1"/>
  <c r="AE22" i="143"/>
  <c r="F22" i="143"/>
  <c r="AE21" i="143"/>
  <c r="AJ21" i="143" s="1"/>
  <c r="F21" i="143"/>
  <c r="L21" i="143" s="1"/>
  <c r="AE20" i="143"/>
  <c r="AJ20" i="143" s="1"/>
  <c r="F20" i="143"/>
  <c r="L20" i="143" s="1"/>
  <c r="AE19" i="143"/>
  <c r="F19" i="143"/>
  <c r="K19" i="143" s="1"/>
  <c r="AE18" i="143"/>
  <c r="F18" i="143"/>
  <c r="AE17" i="143"/>
  <c r="AJ17" i="143" s="1"/>
  <c r="F17" i="143"/>
  <c r="L17" i="143" s="1"/>
  <c r="AE16" i="143"/>
  <c r="AJ16" i="143" s="1"/>
  <c r="F16" i="143"/>
  <c r="L16" i="143" s="1"/>
  <c r="AE15" i="143"/>
  <c r="F15" i="143"/>
  <c r="K15" i="143" s="1"/>
  <c r="AE14" i="143"/>
  <c r="F14" i="143"/>
  <c r="AE13" i="143"/>
  <c r="AJ13" i="143" s="1"/>
  <c r="F13" i="143"/>
  <c r="L13" i="143" s="1"/>
  <c r="AE12" i="143"/>
  <c r="AJ12" i="143" s="1"/>
  <c r="F12" i="143"/>
  <c r="L12" i="143" s="1"/>
  <c r="AE11" i="143"/>
  <c r="F11" i="143"/>
  <c r="K11" i="143" s="1"/>
  <c r="AE10" i="143"/>
  <c r="F10" i="143"/>
  <c r="L10" i="143" s="1"/>
  <c r="AE9" i="143"/>
  <c r="F9" i="143"/>
  <c r="L9" i="143" s="1"/>
  <c r="AE8" i="143"/>
  <c r="F8" i="143"/>
  <c r="K8" i="143" s="1"/>
  <c r="AE7" i="143"/>
  <c r="F7" i="143"/>
  <c r="L7" i="143" s="1"/>
  <c r="AE6" i="143"/>
  <c r="F6" i="143"/>
  <c r="K6" i="143" s="1"/>
  <c r="AE5" i="143"/>
  <c r="F5" i="143"/>
  <c r="L5" i="143" s="1"/>
  <c r="AE4" i="143"/>
  <c r="AJ4" i="143" s="1"/>
  <c r="F4" i="143"/>
  <c r="L4" i="143" s="1"/>
  <c r="AE3" i="143"/>
  <c r="F3" i="143"/>
  <c r="AD64" i="142"/>
  <c r="AD68" i="142" s="1"/>
  <c r="AL63" i="142"/>
  <c r="AC63" i="142"/>
  <c r="AL64" i="142" s="1"/>
  <c r="AL62" i="142"/>
  <c r="AE62" i="142"/>
  <c r="AJ62" i="142" s="1"/>
  <c r="AL61" i="142"/>
  <c r="AE61" i="142"/>
  <c r="AL60" i="142"/>
  <c r="AE60" i="142"/>
  <c r="AL59" i="142"/>
  <c r="AE59" i="142"/>
  <c r="AJ59" i="142" s="1"/>
  <c r="AL58" i="142"/>
  <c r="AE58" i="142"/>
  <c r="AJ58" i="142" s="1"/>
  <c r="AL57" i="142"/>
  <c r="AE57" i="142"/>
  <c r="AL56" i="142"/>
  <c r="AE56" i="142"/>
  <c r="AL55" i="142"/>
  <c r="AE55" i="142"/>
  <c r="AJ55" i="142" s="1"/>
  <c r="AL54" i="142"/>
  <c r="AE54" i="142"/>
  <c r="AJ54" i="142" s="1"/>
  <c r="AL53" i="142"/>
  <c r="AE53" i="142"/>
  <c r="AL52" i="142"/>
  <c r="AE52" i="142"/>
  <c r="AL51" i="142"/>
  <c r="AE51" i="142"/>
  <c r="AJ51" i="142" s="1"/>
  <c r="AL50" i="142"/>
  <c r="AE50" i="142"/>
  <c r="AJ50" i="142" s="1"/>
  <c r="AL49" i="142"/>
  <c r="AE49" i="142"/>
  <c r="AL48" i="142"/>
  <c r="AE48" i="142"/>
  <c r="AL47" i="142"/>
  <c r="AE47" i="142"/>
  <c r="AJ47" i="142" s="1"/>
  <c r="AL46" i="142"/>
  <c r="AE46" i="142"/>
  <c r="AJ46" i="142" s="1"/>
  <c r="AL45" i="142"/>
  <c r="AE45" i="142"/>
  <c r="AL44" i="142"/>
  <c r="AE44" i="142"/>
  <c r="AL43" i="142"/>
  <c r="AE43" i="142"/>
  <c r="AL42" i="142"/>
  <c r="AE42" i="142"/>
  <c r="AL41" i="142"/>
  <c r="C11" i="141" s="1"/>
  <c r="AE41" i="142"/>
  <c r="AL40" i="142"/>
  <c r="C10" i="141" s="1"/>
  <c r="AE40" i="142"/>
  <c r="AJ40" i="142" s="1"/>
  <c r="AL39" i="142"/>
  <c r="C9" i="141" s="1"/>
  <c r="AE39" i="142"/>
  <c r="AJ39" i="142" s="1"/>
  <c r="AL38" i="142"/>
  <c r="C8" i="141" s="1"/>
  <c r="AE38" i="142"/>
  <c r="AL37" i="142"/>
  <c r="C7" i="141" s="1"/>
  <c r="AE37" i="142"/>
  <c r="AJ37" i="142" s="1"/>
  <c r="AL36" i="142"/>
  <c r="C6" i="141" s="1"/>
  <c r="AE36" i="142"/>
  <c r="AL35" i="142"/>
  <c r="AE35" i="142"/>
  <c r="AJ35" i="142" s="1"/>
  <c r="G35" i="142"/>
  <c r="B35" i="142"/>
  <c r="AL34" i="142"/>
  <c r="C4" i="141" s="1"/>
  <c r="AE34" i="142"/>
  <c r="AJ34" i="142" s="1"/>
  <c r="N34" i="142"/>
  <c r="M34" i="142"/>
  <c r="N35" i="142" s="1"/>
  <c r="J34" i="142"/>
  <c r="H34" i="142"/>
  <c r="E34" i="142"/>
  <c r="D34" i="142"/>
  <c r="C34" i="142"/>
  <c r="C35" i="142" s="1"/>
  <c r="B34" i="142"/>
  <c r="AE33" i="142"/>
  <c r="AJ33" i="142" s="1"/>
  <c r="F33" i="142"/>
  <c r="L33" i="142" s="1"/>
  <c r="F32" i="142"/>
  <c r="G32" i="142" s="1"/>
  <c r="F31" i="142"/>
  <c r="L31" i="142" s="1"/>
  <c r="AD30" i="142"/>
  <c r="AD67" i="142" s="1"/>
  <c r="AD69" i="142" s="1"/>
  <c r="E5" i="3" s="1"/>
  <c r="F30" i="142"/>
  <c r="L30" i="142" s="1"/>
  <c r="AE29" i="142"/>
  <c r="AJ29" i="142" s="1"/>
  <c r="F29" i="142"/>
  <c r="K29" i="142" s="1"/>
  <c r="AE28" i="142"/>
  <c r="AJ28" i="142" s="1"/>
  <c r="F28" i="142"/>
  <c r="L28" i="142" s="1"/>
  <c r="AE27" i="142"/>
  <c r="F27" i="142"/>
  <c r="AE26" i="142"/>
  <c r="F26" i="142"/>
  <c r="L26" i="142" s="1"/>
  <c r="AE25" i="142"/>
  <c r="AJ25" i="142" s="1"/>
  <c r="F25" i="142"/>
  <c r="K25" i="142" s="1"/>
  <c r="AE24" i="142"/>
  <c r="AJ24" i="142" s="1"/>
  <c r="F24" i="142"/>
  <c r="L24" i="142" s="1"/>
  <c r="AE23" i="142"/>
  <c r="F23" i="142"/>
  <c r="G23" i="142" s="1"/>
  <c r="AE22" i="142"/>
  <c r="F22" i="142"/>
  <c r="L22" i="142" s="1"/>
  <c r="AE21" i="142"/>
  <c r="AJ21" i="142" s="1"/>
  <c r="F21" i="142"/>
  <c r="K21" i="142" s="1"/>
  <c r="AE20" i="142"/>
  <c r="AJ20" i="142" s="1"/>
  <c r="F20" i="142"/>
  <c r="L20" i="142" s="1"/>
  <c r="AE19" i="142"/>
  <c r="F19" i="142"/>
  <c r="G19" i="142" s="1"/>
  <c r="AE18" i="142"/>
  <c r="F18" i="142"/>
  <c r="L18" i="142" s="1"/>
  <c r="AE17" i="142"/>
  <c r="AJ17" i="142" s="1"/>
  <c r="F17" i="142"/>
  <c r="K17" i="142" s="1"/>
  <c r="AE16" i="142"/>
  <c r="AJ16" i="142" s="1"/>
  <c r="F16" i="142"/>
  <c r="L16" i="142" s="1"/>
  <c r="AE15" i="142"/>
  <c r="F15" i="142"/>
  <c r="G15" i="142" s="1"/>
  <c r="AE14" i="142"/>
  <c r="F14" i="142"/>
  <c r="L14" i="142" s="1"/>
  <c r="AE13" i="142"/>
  <c r="AJ13" i="142" s="1"/>
  <c r="F13" i="142"/>
  <c r="K13" i="142" s="1"/>
  <c r="AE12" i="142"/>
  <c r="AJ12" i="142" s="1"/>
  <c r="F12" i="142"/>
  <c r="L12" i="142" s="1"/>
  <c r="AE11" i="142"/>
  <c r="F11" i="142"/>
  <c r="G11" i="142" s="1"/>
  <c r="AE10" i="142"/>
  <c r="F10" i="142"/>
  <c r="L10" i="142" s="1"/>
  <c r="AE9" i="142"/>
  <c r="AJ9" i="142" s="1"/>
  <c r="F9" i="142"/>
  <c r="K9" i="142" s="1"/>
  <c r="AE8" i="142"/>
  <c r="F8" i="142"/>
  <c r="G8" i="142" s="1"/>
  <c r="AE7" i="142"/>
  <c r="F7" i="142"/>
  <c r="K7" i="142" s="1"/>
  <c r="AE6" i="142"/>
  <c r="F6" i="142"/>
  <c r="G6" i="142" s="1"/>
  <c r="AE5" i="142"/>
  <c r="F5" i="142"/>
  <c r="K5" i="142" s="1"/>
  <c r="AE4" i="142"/>
  <c r="AJ4" i="142" s="1"/>
  <c r="F4" i="142"/>
  <c r="L4" i="142" s="1"/>
  <c r="AE3" i="142"/>
  <c r="F3" i="142"/>
  <c r="L3" i="142" s="1"/>
  <c r="G17" i="133"/>
  <c r="F4" i="133"/>
  <c r="F5" i="133"/>
  <c r="F6" i="133"/>
  <c r="G6" i="133" s="1"/>
  <c r="F7" i="133"/>
  <c r="G7" i="133" s="1"/>
  <c r="F8" i="133"/>
  <c r="G8" i="133" s="1"/>
  <c r="F9" i="133"/>
  <c r="G9" i="133" s="1"/>
  <c r="F10" i="133"/>
  <c r="G10" i="133" s="1"/>
  <c r="F11" i="133"/>
  <c r="F12" i="133"/>
  <c r="G12" i="133" s="1"/>
  <c r="F13" i="133"/>
  <c r="F14" i="133"/>
  <c r="F15" i="133"/>
  <c r="F16" i="133"/>
  <c r="F17" i="133"/>
  <c r="F18" i="133"/>
  <c r="F19" i="133"/>
  <c r="F20" i="133"/>
  <c r="F21" i="133"/>
  <c r="F22" i="133"/>
  <c r="F23" i="133"/>
  <c r="F24" i="133"/>
  <c r="F25" i="133"/>
  <c r="F26" i="133"/>
  <c r="F27" i="133"/>
  <c r="F28" i="133"/>
  <c r="F29" i="133"/>
  <c r="F30" i="133"/>
  <c r="F31" i="133"/>
  <c r="F32" i="133"/>
  <c r="F33" i="133"/>
  <c r="F3" i="133"/>
  <c r="AE10" i="133"/>
  <c r="AJ10" i="133" s="1"/>
  <c r="AE11" i="133"/>
  <c r="AJ11" i="133" s="1"/>
  <c r="AE12" i="133"/>
  <c r="AJ12" i="133" s="1"/>
  <c r="AE13" i="133"/>
  <c r="AJ13" i="133" s="1"/>
  <c r="AE14" i="133"/>
  <c r="AJ14" i="133" s="1"/>
  <c r="AE15" i="133"/>
  <c r="AJ15" i="133" s="1"/>
  <c r="AE16" i="133"/>
  <c r="AJ16" i="133" s="1"/>
  <c r="AE17" i="133"/>
  <c r="AJ17" i="133" s="1"/>
  <c r="AE18" i="133"/>
  <c r="AJ18" i="133" s="1"/>
  <c r="AE19" i="133"/>
  <c r="AJ19" i="133" s="1"/>
  <c r="AE20" i="133"/>
  <c r="AJ20" i="133" s="1"/>
  <c r="AE21" i="133"/>
  <c r="AJ21" i="133" s="1"/>
  <c r="AE22" i="133"/>
  <c r="AJ22" i="133" s="1"/>
  <c r="AE23" i="133"/>
  <c r="AJ23" i="133" s="1"/>
  <c r="AE24" i="133"/>
  <c r="AJ24" i="133" s="1"/>
  <c r="AE25" i="133"/>
  <c r="AJ25" i="133" s="1"/>
  <c r="AE26" i="133"/>
  <c r="AJ26" i="133" s="1"/>
  <c r="AE27" i="133"/>
  <c r="AJ27" i="133" s="1"/>
  <c r="AE28" i="133"/>
  <c r="AJ28" i="133" s="1"/>
  <c r="AE29" i="133"/>
  <c r="AJ29" i="133" s="1"/>
  <c r="AC63" i="133"/>
  <c r="AL64" i="133" s="1"/>
  <c r="AL35" i="133"/>
  <c r="B5" i="141" s="1"/>
  <c r="AL36" i="133"/>
  <c r="B6" i="141" s="1"/>
  <c r="AL37" i="133"/>
  <c r="B7" i="141" s="1"/>
  <c r="AL38" i="133"/>
  <c r="B8" i="141" s="1"/>
  <c r="AL39" i="133"/>
  <c r="B9" i="141" s="1"/>
  <c r="AL40" i="133"/>
  <c r="B10" i="141" s="1"/>
  <c r="AL41" i="133"/>
  <c r="B11" i="141" s="1"/>
  <c r="AL42" i="133"/>
  <c r="B12" i="141" s="1"/>
  <c r="AL43" i="133"/>
  <c r="AL44" i="133"/>
  <c r="B14" i="141" s="1"/>
  <c r="AL45" i="133"/>
  <c r="B15" i="141" s="1"/>
  <c r="AL46" i="133"/>
  <c r="B16" i="141" s="1"/>
  <c r="AL47" i="133"/>
  <c r="B17" i="141" s="1"/>
  <c r="AL48" i="133"/>
  <c r="B18" i="141" s="1"/>
  <c r="AL49" i="133"/>
  <c r="B19" i="141" s="1"/>
  <c r="AL50" i="133"/>
  <c r="B20" i="141" s="1"/>
  <c r="AL51" i="133"/>
  <c r="B21" i="141" s="1"/>
  <c r="AL52" i="133"/>
  <c r="B22" i="141" s="1"/>
  <c r="AL53" i="133"/>
  <c r="B23" i="141" s="1"/>
  <c r="AL54" i="133"/>
  <c r="B24" i="141" s="1"/>
  <c r="AL55" i="133"/>
  <c r="B25" i="141" s="1"/>
  <c r="AL56" i="133"/>
  <c r="B26" i="141" s="1"/>
  <c r="AL57" i="133"/>
  <c r="B27" i="141" s="1"/>
  <c r="AL58" i="133"/>
  <c r="B28" i="141" s="1"/>
  <c r="AL59" i="133"/>
  <c r="AL60" i="133"/>
  <c r="B30" i="141" s="1"/>
  <c r="AL61" i="133"/>
  <c r="B31" i="141" s="1"/>
  <c r="AL62" i="133"/>
  <c r="B32" i="141" s="1"/>
  <c r="AL63" i="133"/>
  <c r="B33" i="141" s="1"/>
  <c r="AL34" i="133"/>
  <c r="B4" i="141" s="1"/>
  <c r="AD64" i="133"/>
  <c r="AD30" i="133"/>
  <c r="AD67" i="133" s="1"/>
  <c r="AE35" i="133"/>
  <c r="AJ35" i="133" s="1"/>
  <c r="AE34" i="133"/>
  <c r="AJ34" i="133" s="1"/>
  <c r="AE38" i="133"/>
  <c r="AE39" i="133"/>
  <c r="AJ39" i="133" s="1"/>
  <c r="AE36" i="133"/>
  <c r="AE33" i="133"/>
  <c r="AJ33" i="133" s="1"/>
  <c r="N69" i="141"/>
  <c r="O68" i="141"/>
  <c r="N65" i="141" s="1"/>
  <c r="G67" i="141"/>
  <c r="G69" i="141" s="1"/>
  <c r="P66" i="141"/>
  <c r="P59" i="141"/>
  <c r="F100" i="3"/>
  <c r="E104" i="3" s="1"/>
  <c r="K92" i="3"/>
  <c r="L94" i="3" s="1"/>
  <c r="F76" i="3"/>
  <c r="E80" i="3" s="1"/>
  <c r="K68" i="3"/>
  <c r="F44" i="3"/>
  <c r="E46" i="3" s="1"/>
  <c r="K34" i="3"/>
  <c r="L36" i="3" s="1"/>
  <c r="F18" i="3"/>
  <c r="E22" i="3" s="1"/>
  <c r="K10" i="3"/>
  <c r="AJ68" i="133"/>
  <c r="AE62" i="133"/>
  <c r="AJ62" i="133" s="1"/>
  <c r="AE61" i="133"/>
  <c r="AJ61" i="133" s="1"/>
  <c r="AE60" i="133"/>
  <c r="AE59" i="133"/>
  <c r="AJ59" i="133" s="1"/>
  <c r="AE58" i="133"/>
  <c r="AJ58" i="133" s="1"/>
  <c r="AE57" i="133"/>
  <c r="AJ57" i="133" s="1"/>
  <c r="AE56" i="133"/>
  <c r="AJ56" i="133" s="1"/>
  <c r="AE55" i="133"/>
  <c r="AJ55" i="133" s="1"/>
  <c r="AE54" i="133"/>
  <c r="AJ54" i="133" s="1"/>
  <c r="AE53" i="133"/>
  <c r="AJ53" i="133" s="1"/>
  <c r="AE52" i="133"/>
  <c r="AJ52" i="133" s="1"/>
  <c r="AE51" i="133"/>
  <c r="AJ51" i="133" s="1"/>
  <c r="AE50" i="133"/>
  <c r="AJ50" i="133" s="1"/>
  <c r="AE49" i="133"/>
  <c r="AJ49" i="133" s="1"/>
  <c r="AE48" i="133"/>
  <c r="AE47" i="133"/>
  <c r="AJ47" i="133" s="1"/>
  <c r="AE46" i="133"/>
  <c r="AJ46" i="133" s="1"/>
  <c r="AE37" i="133"/>
  <c r="AJ37" i="133" s="1"/>
  <c r="AE45" i="133"/>
  <c r="AJ45" i="133" s="1"/>
  <c r="AE44" i="133"/>
  <c r="AJ44" i="133" s="1"/>
  <c r="AE43" i="133"/>
  <c r="AE42" i="133"/>
  <c r="AJ42" i="133" s="1"/>
  <c r="AE41" i="133"/>
  <c r="AJ41" i="133" s="1"/>
  <c r="AE40" i="133"/>
  <c r="AJ40" i="133" s="1"/>
  <c r="AE9" i="133"/>
  <c r="AJ9" i="133" s="1"/>
  <c r="AE7" i="133"/>
  <c r="AE4" i="133"/>
  <c r="AE3" i="133"/>
  <c r="AE6" i="133"/>
  <c r="AE5" i="133"/>
  <c r="AE8" i="133"/>
  <c r="M5" i="141" l="1"/>
  <c r="M6" i="141"/>
  <c r="M7" i="141"/>
  <c r="M4" i="141"/>
  <c r="L5" i="141"/>
  <c r="L6" i="141"/>
  <c r="L7" i="141"/>
  <c r="L4" i="141"/>
  <c r="AL63" i="151"/>
  <c r="K5" i="141"/>
  <c r="K6" i="141"/>
  <c r="K7" i="141"/>
  <c r="K4" i="141"/>
  <c r="J5" i="141"/>
  <c r="J6" i="141"/>
  <c r="J7" i="141"/>
  <c r="J4" i="141"/>
  <c r="I5" i="141"/>
  <c r="I6" i="141"/>
  <c r="I7" i="141"/>
  <c r="I4" i="141"/>
  <c r="H5" i="141"/>
  <c r="H6" i="141"/>
  <c r="H7" i="141"/>
  <c r="H4" i="141"/>
  <c r="F10" i="141"/>
  <c r="E10" i="141"/>
  <c r="M59" i="141"/>
  <c r="M66" i="141" s="1"/>
  <c r="L59" i="141"/>
  <c r="L66" i="141" s="1"/>
  <c r="K59" i="141"/>
  <c r="J59" i="141"/>
  <c r="I59" i="141"/>
  <c r="I66" i="141" s="1"/>
  <c r="H59" i="141"/>
  <c r="H66" i="141" s="1"/>
  <c r="G59" i="141"/>
  <c r="F33" i="141"/>
  <c r="F59" i="141"/>
  <c r="F66" i="141" s="1"/>
  <c r="E59" i="141"/>
  <c r="E66" i="141" s="1"/>
  <c r="E67" i="141"/>
  <c r="E69" i="141" s="1"/>
  <c r="AD68" i="152"/>
  <c r="AD67" i="152"/>
  <c r="AD69" i="152" s="1"/>
  <c r="E88" i="3" s="1"/>
  <c r="E90" i="3" s="1"/>
  <c r="AL63" i="152"/>
  <c r="AJ62" i="152"/>
  <c r="AJ61" i="152"/>
  <c r="AJ60" i="152"/>
  <c r="AJ59" i="152"/>
  <c r="AJ58" i="152"/>
  <c r="AJ57" i="152"/>
  <c r="AJ56" i="152"/>
  <c r="AJ55" i="152"/>
  <c r="AJ54" i="152"/>
  <c r="AJ53" i="152"/>
  <c r="AJ51" i="152"/>
  <c r="AJ49" i="152"/>
  <c r="AJ47" i="152"/>
  <c r="AJ46" i="152"/>
  <c r="AJ42" i="152"/>
  <c r="AJ39" i="152"/>
  <c r="AJ37" i="152"/>
  <c r="N35" i="152"/>
  <c r="E35" i="152"/>
  <c r="K33" i="152"/>
  <c r="K32" i="152"/>
  <c r="G31" i="152"/>
  <c r="AJ29" i="152"/>
  <c r="L29" i="152"/>
  <c r="K26" i="152"/>
  <c r="AJ25" i="152"/>
  <c r="L24" i="152"/>
  <c r="G24" i="152"/>
  <c r="L23" i="152"/>
  <c r="K22" i="152"/>
  <c r="AJ21" i="152"/>
  <c r="L21" i="152"/>
  <c r="G20" i="152"/>
  <c r="L19" i="152"/>
  <c r="G19" i="152"/>
  <c r="G18" i="152"/>
  <c r="L17" i="152"/>
  <c r="G17" i="152"/>
  <c r="K15" i="152"/>
  <c r="K14" i="152"/>
  <c r="K13" i="152"/>
  <c r="AJ12" i="152"/>
  <c r="K12" i="152"/>
  <c r="L11" i="152"/>
  <c r="AJ10" i="152"/>
  <c r="AJ9" i="152"/>
  <c r="L9" i="152"/>
  <c r="K9" i="152"/>
  <c r="G9" i="152"/>
  <c r="L8" i="152"/>
  <c r="K8" i="152"/>
  <c r="G8" i="152"/>
  <c r="L7" i="152"/>
  <c r="K7" i="152"/>
  <c r="G7" i="152"/>
  <c r="L6" i="152"/>
  <c r="K6" i="152"/>
  <c r="G6" i="152"/>
  <c r="L5" i="152"/>
  <c r="K5" i="152"/>
  <c r="G5" i="152"/>
  <c r="AJ4" i="152"/>
  <c r="L4" i="152"/>
  <c r="K4" i="152"/>
  <c r="G4" i="152"/>
  <c r="L3" i="152"/>
  <c r="K3" i="152"/>
  <c r="G3" i="152"/>
  <c r="AJ41" i="152"/>
  <c r="D35" i="152"/>
  <c r="C35" i="152"/>
  <c r="AJ34" i="152"/>
  <c r="L33" i="152"/>
  <c r="G33" i="152"/>
  <c r="L32" i="152"/>
  <c r="G32" i="152"/>
  <c r="L31" i="152"/>
  <c r="K31" i="152"/>
  <c r="L30" i="152"/>
  <c r="G30" i="152"/>
  <c r="G29" i="152"/>
  <c r="K28" i="152"/>
  <c r="AJ27" i="152"/>
  <c r="L27" i="152"/>
  <c r="G27" i="152"/>
  <c r="AJ26" i="152"/>
  <c r="L26" i="152"/>
  <c r="L25" i="152"/>
  <c r="K25" i="152"/>
  <c r="AJ24" i="152"/>
  <c r="AJ23" i="152"/>
  <c r="K23" i="152"/>
  <c r="AJ22" i="152"/>
  <c r="G22" i="152"/>
  <c r="K21" i="152"/>
  <c r="AJ20" i="152"/>
  <c r="K20" i="152"/>
  <c r="AJ19" i="152"/>
  <c r="AJ18" i="152"/>
  <c r="L18" i="152"/>
  <c r="AJ16" i="152"/>
  <c r="L16" i="152"/>
  <c r="K16" i="152"/>
  <c r="AJ15" i="152"/>
  <c r="G15" i="152"/>
  <c r="L14" i="152"/>
  <c r="G13" i="152"/>
  <c r="AJ11" i="152"/>
  <c r="G11" i="152"/>
  <c r="AJ52" i="152"/>
  <c r="AJ50" i="152"/>
  <c r="AJ48" i="152"/>
  <c r="AJ45" i="152"/>
  <c r="AJ44" i="152"/>
  <c r="AJ43" i="152"/>
  <c r="AJ40" i="152"/>
  <c r="E36" i="152"/>
  <c r="C36" i="152"/>
  <c r="AJ35" i="152"/>
  <c r="F35" i="152"/>
  <c r="M60" i="141" s="1"/>
  <c r="M67" i="141" s="1"/>
  <c r="M69" i="141" s="1"/>
  <c r="F34" i="152"/>
  <c r="K30" i="152"/>
  <c r="K29" i="152"/>
  <c r="AJ28" i="152"/>
  <c r="L28" i="152"/>
  <c r="G28" i="152"/>
  <c r="K27" i="152"/>
  <c r="G26" i="152"/>
  <c r="G25" i="152"/>
  <c r="K24" i="152"/>
  <c r="G23" i="152"/>
  <c r="L22" i="152"/>
  <c r="G21" i="152"/>
  <c r="L20" i="152"/>
  <c r="K19" i="152"/>
  <c r="K18" i="152"/>
  <c r="AJ17" i="152"/>
  <c r="K17" i="152"/>
  <c r="G16" i="152"/>
  <c r="L15" i="152"/>
  <c r="AJ14" i="152"/>
  <c r="G14" i="152"/>
  <c r="AJ13" i="152"/>
  <c r="L13" i="152"/>
  <c r="L12" i="152"/>
  <c r="G12" i="152"/>
  <c r="K11" i="152"/>
  <c r="C35" i="151"/>
  <c r="G33" i="151"/>
  <c r="G32" i="151"/>
  <c r="K31" i="151"/>
  <c r="K30" i="151"/>
  <c r="L29" i="151"/>
  <c r="K29" i="151"/>
  <c r="K28" i="151"/>
  <c r="G27" i="151"/>
  <c r="AJ26" i="151"/>
  <c r="K26" i="151"/>
  <c r="G25" i="151"/>
  <c r="AJ24" i="151"/>
  <c r="K23" i="151"/>
  <c r="K22" i="151"/>
  <c r="AJ21" i="151"/>
  <c r="G21" i="151"/>
  <c r="AJ20" i="151"/>
  <c r="K20" i="151"/>
  <c r="L18" i="151"/>
  <c r="G18" i="151"/>
  <c r="K17" i="151"/>
  <c r="AJ16" i="151"/>
  <c r="K16" i="151"/>
  <c r="L15" i="151"/>
  <c r="G15" i="151"/>
  <c r="L14" i="151"/>
  <c r="AJ13" i="151"/>
  <c r="L12" i="151"/>
  <c r="K12" i="151"/>
  <c r="G12" i="151"/>
  <c r="AJ11" i="151"/>
  <c r="L11" i="151"/>
  <c r="K11" i="151"/>
  <c r="G11" i="151"/>
  <c r="AJ10" i="151"/>
  <c r="L10" i="151"/>
  <c r="K10" i="151"/>
  <c r="G10" i="151"/>
  <c r="AJ9" i="151"/>
  <c r="L9" i="151"/>
  <c r="K9" i="151"/>
  <c r="G9" i="151"/>
  <c r="L8" i="151"/>
  <c r="K8" i="151"/>
  <c r="G8" i="151"/>
  <c r="L7" i="151"/>
  <c r="K7" i="151"/>
  <c r="G7" i="151"/>
  <c r="L6" i="151"/>
  <c r="K6" i="151"/>
  <c r="G6" i="151"/>
  <c r="L5" i="151"/>
  <c r="K5" i="151"/>
  <c r="G5" i="151"/>
  <c r="AJ4" i="151"/>
  <c r="L4" i="151"/>
  <c r="K4" i="151"/>
  <c r="G4" i="151"/>
  <c r="L3" i="151"/>
  <c r="K3" i="151"/>
  <c r="G3" i="151"/>
  <c r="K19" i="151"/>
  <c r="AJ17" i="151"/>
  <c r="L17" i="151"/>
  <c r="L16" i="151"/>
  <c r="G16" i="151"/>
  <c r="AJ15" i="151"/>
  <c r="K15" i="151"/>
  <c r="G14" i="151"/>
  <c r="G13" i="151"/>
  <c r="AD68" i="151"/>
  <c r="AD67" i="151"/>
  <c r="AD69" i="151" s="1"/>
  <c r="E87" i="3" s="1"/>
  <c r="AJ62" i="151"/>
  <c r="AJ61" i="151"/>
  <c r="AJ60" i="151"/>
  <c r="AJ59" i="151"/>
  <c r="AJ58" i="151"/>
  <c r="AJ56" i="151"/>
  <c r="AJ55" i="151"/>
  <c r="AJ54" i="151"/>
  <c r="AJ53" i="151"/>
  <c r="AJ52" i="151"/>
  <c r="AJ51" i="151"/>
  <c r="AJ50" i="151"/>
  <c r="AJ49" i="151"/>
  <c r="AJ48" i="151"/>
  <c r="AJ47" i="151"/>
  <c r="AJ46" i="151"/>
  <c r="AJ45" i="151"/>
  <c r="AJ44" i="151"/>
  <c r="AJ42" i="151"/>
  <c r="AJ41" i="151"/>
  <c r="AJ40" i="151"/>
  <c r="AJ39" i="151"/>
  <c r="AJ37" i="151"/>
  <c r="C36" i="151"/>
  <c r="AJ35" i="151"/>
  <c r="N35" i="151"/>
  <c r="E35" i="151"/>
  <c r="D35" i="151"/>
  <c r="AJ34" i="151"/>
  <c r="F34" i="151"/>
  <c r="L33" i="151"/>
  <c r="K33" i="151"/>
  <c r="L32" i="151"/>
  <c r="K32" i="151"/>
  <c r="L31" i="151"/>
  <c r="G31" i="151"/>
  <c r="L30" i="151"/>
  <c r="G30" i="151"/>
  <c r="AJ29" i="151"/>
  <c r="G29" i="151"/>
  <c r="AJ28" i="151"/>
  <c r="L28" i="151"/>
  <c r="G28" i="151"/>
  <c r="AJ27" i="151"/>
  <c r="L27" i="151"/>
  <c r="K27" i="151"/>
  <c r="L26" i="151"/>
  <c r="G26" i="151"/>
  <c r="AJ25" i="151"/>
  <c r="L25" i="151"/>
  <c r="K25" i="151"/>
  <c r="L24" i="151"/>
  <c r="K24" i="151"/>
  <c r="G24" i="151"/>
  <c r="AJ23" i="151"/>
  <c r="L23" i="151"/>
  <c r="G23" i="151"/>
  <c r="AJ22" i="151"/>
  <c r="L22" i="151"/>
  <c r="G22" i="151"/>
  <c r="L21" i="151"/>
  <c r="K21" i="151"/>
  <c r="L20" i="151"/>
  <c r="G20" i="151"/>
  <c r="AJ19" i="151"/>
  <c r="L19" i="151"/>
  <c r="G19" i="151"/>
  <c r="AJ18" i="151"/>
  <c r="K18" i="151"/>
  <c r="AJ14" i="151"/>
  <c r="K14" i="151"/>
  <c r="L13" i="151"/>
  <c r="K13" i="151"/>
  <c r="AJ12" i="151"/>
  <c r="E35" i="150"/>
  <c r="K33" i="150"/>
  <c r="G32" i="150"/>
  <c r="L31" i="150"/>
  <c r="AJ29" i="150"/>
  <c r="K29" i="150"/>
  <c r="K28" i="150"/>
  <c r="K26" i="150"/>
  <c r="G25" i="150"/>
  <c r="K24" i="150"/>
  <c r="L23" i="150"/>
  <c r="L22" i="150"/>
  <c r="L21" i="150"/>
  <c r="AJ20" i="150"/>
  <c r="AJ19" i="150"/>
  <c r="L18" i="150"/>
  <c r="AJ16" i="150"/>
  <c r="AJ14" i="150"/>
  <c r="L14" i="150"/>
  <c r="K14" i="150"/>
  <c r="G14" i="150"/>
  <c r="AJ13" i="150"/>
  <c r="L13" i="150"/>
  <c r="K13" i="150"/>
  <c r="G13" i="150"/>
  <c r="AJ12" i="150"/>
  <c r="L12" i="150"/>
  <c r="K12" i="150"/>
  <c r="G12" i="150"/>
  <c r="AJ11" i="150"/>
  <c r="L11" i="150"/>
  <c r="K11" i="150"/>
  <c r="G11" i="150"/>
  <c r="AJ10" i="150"/>
  <c r="L10" i="150"/>
  <c r="K10" i="150"/>
  <c r="G10" i="150"/>
  <c r="AJ9" i="150"/>
  <c r="L9" i="150"/>
  <c r="K9" i="150"/>
  <c r="G9" i="150"/>
  <c r="L8" i="150"/>
  <c r="K8" i="150"/>
  <c r="G8" i="150"/>
  <c r="L7" i="150"/>
  <c r="K7" i="150"/>
  <c r="G7" i="150"/>
  <c r="L6" i="150"/>
  <c r="K6" i="150"/>
  <c r="G6" i="150"/>
  <c r="L5" i="150"/>
  <c r="K5" i="150"/>
  <c r="G5" i="150"/>
  <c r="AJ4" i="150"/>
  <c r="L4" i="150"/>
  <c r="K4" i="150"/>
  <c r="G4" i="150"/>
  <c r="L3" i="150"/>
  <c r="K3" i="150"/>
  <c r="G3" i="150"/>
  <c r="AJ53" i="150"/>
  <c r="AJ48" i="150"/>
  <c r="AJ40" i="150"/>
  <c r="D35" i="150"/>
  <c r="K32" i="150"/>
  <c r="G30" i="150"/>
  <c r="L26" i="150"/>
  <c r="L25" i="150"/>
  <c r="K20" i="150"/>
  <c r="G19" i="150"/>
  <c r="AJ39" i="150"/>
  <c r="AJ34" i="150"/>
  <c r="F34" i="150"/>
  <c r="G33" i="150"/>
  <c r="K30" i="150"/>
  <c r="G29" i="150"/>
  <c r="AJ25" i="150"/>
  <c r="L24" i="150"/>
  <c r="AJ23" i="150"/>
  <c r="K23" i="150"/>
  <c r="L20" i="150"/>
  <c r="G31" i="150"/>
  <c r="L30" i="150"/>
  <c r="L29" i="150"/>
  <c r="AJ21" i="150"/>
  <c r="L16" i="150"/>
  <c r="AD68" i="150"/>
  <c r="AJ62" i="150"/>
  <c r="AJ59" i="150"/>
  <c r="AJ58" i="150"/>
  <c r="AJ51" i="150"/>
  <c r="AJ43" i="150"/>
  <c r="D36" i="150"/>
  <c r="N35" i="150"/>
  <c r="L33" i="150"/>
  <c r="L32" i="150"/>
  <c r="K31" i="150"/>
  <c r="AJ28" i="150"/>
  <c r="G28" i="150"/>
  <c r="AJ27" i="150"/>
  <c r="K27" i="150"/>
  <c r="G26" i="150"/>
  <c r="AJ24" i="150"/>
  <c r="K22" i="150"/>
  <c r="G21" i="150"/>
  <c r="K19" i="150"/>
  <c r="AJ18" i="150"/>
  <c r="G18" i="150"/>
  <c r="AJ17" i="150"/>
  <c r="K17" i="150"/>
  <c r="K16" i="150"/>
  <c r="AJ15" i="150"/>
  <c r="AD67" i="150"/>
  <c r="AD69" i="150" s="1"/>
  <c r="E86" i="3" s="1"/>
  <c r="AL63" i="150"/>
  <c r="AJ61" i="150"/>
  <c r="AJ60" i="150"/>
  <c r="AJ57" i="150"/>
  <c r="AJ56" i="150"/>
  <c r="AJ55" i="150"/>
  <c r="AJ54" i="150"/>
  <c r="AJ50" i="150"/>
  <c r="AJ49" i="150"/>
  <c r="AJ46" i="150"/>
  <c r="AJ44" i="150"/>
  <c r="AJ42" i="150"/>
  <c r="AJ35" i="150"/>
  <c r="C35" i="150"/>
  <c r="L28" i="150"/>
  <c r="L27" i="150"/>
  <c r="G27" i="150"/>
  <c r="AJ26" i="150"/>
  <c r="K25" i="150"/>
  <c r="G24" i="150"/>
  <c r="G23" i="150"/>
  <c r="AJ22" i="150"/>
  <c r="G22" i="150"/>
  <c r="K21" i="150"/>
  <c r="G20" i="150"/>
  <c r="L19" i="150"/>
  <c r="K18" i="150"/>
  <c r="L17" i="150"/>
  <c r="G17" i="150"/>
  <c r="G16" i="150"/>
  <c r="AD68" i="149"/>
  <c r="AD67" i="149"/>
  <c r="AD69" i="149" s="1"/>
  <c r="E64" i="3" s="1"/>
  <c r="E66" i="3" s="1"/>
  <c r="AJ60" i="149"/>
  <c r="AJ55" i="149"/>
  <c r="AJ47" i="149"/>
  <c r="AJ45" i="149"/>
  <c r="AJ37" i="149"/>
  <c r="AJ35" i="149"/>
  <c r="N35" i="149"/>
  <c r="AJ34" i="149"/>
  <c r="F34" i="149"/>
  <c r="L33" i="149"/>
  <c r="G33" i="149"/>
  <c r="K32" i="149"/>
  <c r="K31" i="149"/>
  <c r="K30" i="149"/>
  <c r="K25" i="149"/>
  <c r="AJ24" i="149"/>
  <c r="L21" i="149"/>
  <c r="L20" i="149"/>
  <c r="G19" i="149"/>
  <c r="L17" i="149"/>
  <c r="K17" i="149"/>
  <c r="G17" i="149"/>
  <c r="AJ16" i="149"/>
  <c r="L16" i="149"/>
  <c r="K16" i="149"/>
  <c r="G16" i="149"/>
  <c r="AJ15" i="149"/>
  <c r="L15" i="149"/>
  <c r="K15" i="149"/>
  <c r="G15" i="149"/>
  <c r="AJ14" i="149"/>
  <c r="L14" i="149"/>
  <c r="K14" i="149"/>
  <c r="G14" i="149"/>
  <c r="AJ13" i="149"/>
  <c r="L13" i="149"/>
  <c r="K13" i="149"/>
  <c r="G13" i="149"/>
  <c r="AJ12" i="149"/>
  <c r="L12" i="149"/>
  <c r="K12" i="149"/>
  <c r="G12" i="149"/>
  <c r="AJ11" i="149"/>
  <c r="L11" i="149"/>
  <c r="K11" i="149"/>
  <c r="G11" i="149"/>
  <c r="AJ10" i="149"/>
  <c r="L10" i="149"/>
  <c r="K10" i="149"/>
  <c r="G10" i="149"/>
  <c r="AJ9" i="149"/>
  <c r="L9" i="149"/>
  <c r="K9" i="149"/>
  <c r="G9" i="149"/>
  <c r="L8" i="149"/>
  <c r="K8" i="149"/>
  <c r="G8" i="149"/>
  <c r="L7" i="149"/>
  <c r="K7" i="149"/>
  <c r="G7" i="149"/>
  <c r="L6" i="149"/>
  <c r="K6" i="149"/>
  <c r="G6" i="149"/>
  <c r="L5" i="149"/>
  <c r="K5" i="149"/>
  <c r="G5" i="149"/>
  <c r="AJ4" i="149"/>
  <c r="L4" i="149"/>
  <c r="K4" i="149"/>
  <c r="G4" i="149"/>
  <c r="L3" i="149"/>
  <c r="K3" i="149"/>
  <c r="G3" i="149"/>
  <c r="G30" i="149"/>
  <c r="L27" i="149"/>
  <c r="K26" i="149"/>
  <c r="L22" i="149"/>
  <c r="AJ18" i="149"/>
  <c r="D35" i="149"/>
  <c r="L30" i="149"/>
  <c r="AJ29" i="149"/>
  <c r="K29" i="149"/>
  <c r="K28" i="149"/>
  <c r="G25" i="149"/>
  <c r="K24" i="149"/>
  <c r="K21" i="149"/>
  <c r="K20" i="149"/>
  <c r="G18" i="149"/>
  <c r="L29" i="149"/>
  <c r="L25" i="149"/>
  <c r="L23" i="149"/>
  <c r="K22" i="149"/>
  <c r="G21" i="149"/>
  <c r="AJ62" i="149"/>
  <c r="AJ52" i="149"/>
  <c r="AJ51" i="149"/>
  <c r="AJ50" i="149"/>
  <c r="AJ49" i="149"/>
  <c r="AJ43" i="149"/>
  <c r="AJ39" i="149"/>
  <c r="E35" i="149"/>
  <c r="K33" i="149"/>
  <c r="AJ27" i="149"/>
  <c r="G27" i="149"/>
  <c r="AJ26" i="149"/>
  <c r="AJ25" i="149"/>
  <c r="L24" i="149"/>
  <c r="AJ23" i="149"/>
  <c r="K23" i="149"/>
  <c r="AJ20" i="149"/>
  <c r="L18" i="149"/>
  <c r="AL63" i="149"/>
  <c r="AJ61" i="149"/>
  <c r="AJ59" i="149"/>
  <c r="AJ58" i="149"/>
  <c r="AJ57" i="149"/>
  <c r="AJ56" i="149"/>
  <c r="AJ54" i="149"/>
  <c r="AJ53" i="149"/>
  <c r="AJ48" i="149"/>
  <c r="AJ44" i="149"/>
  <c r="AJ42" i="149"/>
  <c r="AJ41" i="149"/>
  <c r="AJ40" i="149"/>
  <c r="C35" i="149"/>
  <c r="L32" i="149"/>
  <c r="G32" i="149"/>
  <c r="L31" i="149"/>
  <c r="G31" i="149"/>
  <c r="G29" i="149"/>
  <c r="AJ28" i="149"/>
  <c r="L28" i="149"/>
  <c r="G28" i="149"/>
  <c r="K27" i="149"/>
  <c r="L26" i="149"/>
  <c r="G26" i="149"/>
  <c r="G24" i="149"/>
  <c r="G23" i="149"/>
  <c r="AJ22" i="149"/>
  <c r="G22" i="149"/>
  <c r="AJ21" i="149"/>
  <c r="G20" i="149"/>
  <c r="AJ19" i="149"/>
  <c r="L19" i="149"/>
  <c r="K19" i="149"/>
  <c r="K18" i="149"/>
  <c r="AJ17" i="149"/>
  <c r="AD68" i="148"/>
  <c r="AD67" i="148"/>
  <c r="AD69" i="148" s="1"/>
  <c r="E63" i="3" s="1"/>
  <c r="AL63" i="148"/>
  <c r="AJ61" i="148"/>
  <c r="AJ60" i="148"/>
  <c r="AJ59" i="148"/>
  <c r="AJ58" i="148"/>
  <c r="AJ57" i="148"/>
  <c r="AJ56" i="148"/>
  <c r="AJ55" i="148"/>
  <c r="AJ54" i="148"/>
  <c r="AJ53" i="148"/>
  <c r="AJ52" i="148"/>
  <c r="AJ51" i="148"/>
  <c r="AJ50" i="148"/>
  <c r="AJ49" i="148"/>
  <c r="AJ48" i="148"/>
  <c r="AJ47" i="148"/>
  <c r="AJ46" i="148"/>
  <c r="AJ45" i="148"/>
  <c r="AJ44" i="148"/>
  <c r="AJ43" i="148"/>
  <c r="AJ42" i="148"/>
  <c r="AJ41" i="148"/>
  <c r="AJ40" i="148"/>
  <c r="AJ39" i="148"/>
  <c r="AJ35" i="148"/>
  <c r="E35" i="148"/>
  <c r="D35" i="148"/>
  <c r="F34" i="148"/>
  <c r="K33" i="148"/>
  <c r="K32" i="148"/>
  <c r="L31" i="148"/>
  <c r="G31" i="148"/>
  <c r="G28" i="148"/>
  <c r="AJ27" i="148"/>
  <c r="K27" i="148"/>
  <c r="AJ26" i="148"/>
  <c r="K26" i="148"/>
  <c r="G26" i="148"/>
  <c r="AJ25" i="148"/>
  <c r="K25" i="148"/>
  <c r="K24" i="148"/>
  <c r="K23" i="148"/>
  <c r="L22" i="148"/>
  <c r="G22" i="148"/>
  <c r="AJ21" i="148"/>
  <c r="L21" i="148"/>
  <c r="G21" i="148"/>
  <c r="AJ20" i="148"/>
  <c r="AJ19" i="148"/>
  <c r="L19" i="148"/>
  <c r="K19" i="148"/>
  <c r="G19" i="148"/>
  <c r="AJ18" i="148"/>
  <c r="L18" i="148"/>
  <c r="K18" i="148"/>
  <c r="G18" i="148"/>
  <c r="AJ17" i="148"/>
  <c r="L17" i="148"/>
  <c r="K17" i="148"/>
  <c r="G17" i="148"/>
  <c r="AJ16" i="148"/>
  <c r="L16" i="148"/>
  <c r="K16" i="148"/>
  <c r="G16" i="148"/>
  <c r="AJ15" i="148"/>
  <c r="L15" i="148"/>
  <c r="K15" i="148"/>
  <c r="G15" i="148"/>
  <c r="AJ14" i="148"/>
  <c r="L14" i="148"/>
  <c r="K14" i="148"/>
  <c r="G14" i="148"/>
  <c r="AJ13" i="148"/>
  <c r="L13" i="148"/>
  <c r="K13" i="148"/>
  <c r="G13" i="148"/>
  <c r="AJ12" i="148"/>
  <c r="L12" i="148"/>
  <c r="K12" i="148"/>
  <c r="G12" i="148"/>
  <c r="AJ11" i="148"/>
  <c r="L11" i="148"/>
  <c r="K11" i="148"/>
  <c r="G11" i="148"/>
  <c r="AJ10" i="148"/>
  <c r="L10" i="148"/>
  <c r="K10" i="148"/>
  <c r="G10" i="148"/>
  <c r="AJ9" i="148"/>
  <c r="L9" i="148"/>
  <c r="K9" i="148"/>
  <c r="G9" i="148"/>
  <c r="L8" i="148"/>
  <c r="K8" i="148"/>
  <c r="G8" i="148"/>
  <c r="L7" i="148"/>
  <c r="K7" i="148"/>
  <c r="G7" i="148"/>
  <c r="L6" i="148"/>
  <c r="K6" i="148"/>
  <c r="G6" i="148"/>
  <c r="L5" i="148"/>
  <c r="K5" i="148"/>
  <c r="G5" i="148"/>
  <c r="AJ4" i="148"/>
  <c r="L4" i="148"/>
  <c r="K4" i="148"/>
  <c r="G4" i="148"/>
  <c r="L3" i="148"/>
  <c r="K3" i="148"/>
  <c r="G3" i="148"/>
  <c r="AJ37" i="148"/>
  <c r="N35" i="148"/>
  <c r="C35" i="148"/>
  <c r="AJ34" i="148"/>
  <c r="L33" i="148"/>
  <c r="G33" i="148"/>
  <c r="L32" i="148"/>
  <c r="G32" i="148"/>
  <c r="K31" i="148"/>
  <c r="L30" i="148"/>
  <c r="K30" i="148"/>
  <c r="G30" i="148"/>
  <c r="AJ29" i="148"/>
  <c r="L29" i="148"/>
  <c r="K29" i="148"/>
  <c r="AJ28" i="148"/>
  <c r="L28" i="148"/>
  <c r="K28" i="148"/>
  <c r="L27" i="148"/>
  <c r="G27" i="148"/>
  <c r="L26" i="148"/>
  <c r="L25" i="148"/>
  <c r="G25" i="148"/>
  <c r="AJ24" i="148"/>
  <c r="L24" i="148"/>
  <c r="G24" i="148"/>
  <c r="AJ23" i="148"/>
  <c r="L23" i="148"/>
  <c r="G23" i="148"/>
  <c r="AJ22" i="148"/>
  <c r="K22" i="148"/>
  <c r="K21" i="148"/>
  <c r="AL63" i="147"/>
  <c r="AJ60" i="147"/>
  <c r="AJ57" i="147"/>
  <c r="AJ55" i="147"/>
  <c r="AJ51" i="147"/>
  <c r="AJ44" i="147"/>
  <c r="AJ42" i="147"/>
  <c r="AJ40" i="147"/>
  <c r="AJ35" i="147"/>
  <c r="N35" i="147"/>
  <c r="C35" i="147"/>
  <c r="AJ34" i="147"/>
  <c r="G33" i="147"/>
  <c r="K32" i="147"/>
  <c r="K31" i="147"/>
  <c r="K30" i="147"/>
  <c r="K29" i="147"/>
  <c r="AJ28" i="147"/>
  <c r="K27" i="147"/>
  <c r="G27" i="147"/>
  <c r="AJ26" i="147"/>
  <c r="K26" i="147"/>
  <c r="K25" i="147"/>
  <c r="G24" i="147"/>
  <c r="AJ23" i="147"/>
  <c r="K23" i="147"/>
  <c r="L22" i="147"/>
  <c r="K22" i="147"/>
  <c r="G22" i="147"/>
  <c r="AJ21" i="147"/>
  <c r="L21" i="147"/>
  <c r="K21" i="147"/>
  <c r="G21" i="147"/>
  <c r="AJ20" i="147"/>
  <c r="L20" i="147"/>
  <c r="K20" i="147"/>
  <c r="G20" i="147"/>
  <c r="AJ19" i="147"/>
  <c r="L19" i="147"/>
  <c r="K19" i="147"/>
  <c r="G19" i="147"/>
  <c r="AJ18" i="147"/>
  <c r="L18" i="147"/>
  <c r="K18" i="147"/>
  <c r="G18" i="147"/>
  <c r="AJ17" i="147"/>
  <c r="L17" i="147"/>
  <c r="K17" i="147"/>
  <c r="G17" i="147"/>
  <c r="AJ16" i="147"/>
  <c r="L16" i="147"/>
  <c r="K16" i="147"/>
  <c r="G16" i="147"/>
  <c r="AJ15" i="147"/>
  <c r="L15" i="147"/>
  <c r="K15" i="147"/>
  <c r="G15" i="147"/>
  <c r="AJ14" i="147"/>
  <c r="L14" i="147"/>
  <c r="K14" i="147"/>
  <c r="G14" i="147"/>
  <c r="AJ13" i="147"/>
  <c r="L13" i="147"/>
  <c r="K13" i="147"/>
  <c r="G13" i="147"/>
  <c r="AJ12" i="147"/>
  <c r="L12" i="147"/>
  <c r="K12" i="147"/>
  <c r="G12" i="147"/>
  <c r="AJ11" i="147"/>
  <c r="L11" i="147"/>
  <c r="K11" i="147"/>
  <c r="G11" i="147"/>
  <c r="AJ10" i="147"/>
  <c r="L10" i="147"/>
  <c r="K10" i="147"/>
  <c r="G10" i="147"/>
  <c r="AJ9" i="147"/>
  <c r="L9" i="147"/>
  <c r="K9" i="147"/>
  <c r="G9" i="147"/>
  <c r="L8" i="147"/>
  <c r="K8" i="147"/>
  <c r="G8" i="147"/>
  <c r="L7" i="147"/>
  <c r="K7" i="147"/>
  <c r="G7" i="147"/>
  <c r="L6" i="147"/>
  <c r="K6" i="147"/>
  <c r="G6" i="147"/>
  <c r="L5" i="147"/>
  <c r="K5" i="147"/>
  <c r="G5" i="147"/>
  <c r="AJ4" i="147"/>
  <c r="L4" i="147"/>
  <c r="K4" i="147"/>
  <c r="G4" i="147"/>
  <c r="L3" i="147"/>
  <c r="K3" i="147"/>
  <c r="G3" i="147"/>
  <c r="AD68" i="147"/>
  <c r="AD67" i="147"/>
  <c r="AD69" i="147" s="1"/>
  <c r="E62" i="3" s="1"/>
  <c r="AJ62" i="147"/>
  <c r="AJ61" i="147"/>
  <c r="AJ59" i="147"/>
  <c r="AJ58" i="147"/>
  <c r="AJ56" i="147"/>
  <c r="AJ54" i="147"/>
  <c r="AJ53" i="147"/>
  <c r="AJ52" i="147"/>
  <c r="AJ50" i="147"/>
  <c r="AJ49" i="147"/>
  <c r="AJ48" i="147"/>
  <c r="AJ47" i="147"/>
  <c r="AJ46" i="147"/>
  <c r="AJ45" i="147"/>
  <c r="AJ43" i="147"/>
  <c r="AJ41" i="147"/>
  <c r="AJ39" i="147"/>
  <c r="AJ37" i="147"/>
  <c r="E35" i="147"/>
  <c r="D35" i="147"/>
  <c r="F34" i="147"/>
  <c r="L33" i="147"/>
  <c r="K33" i="147"/>
  <c r="L32" i="147"/>
  <c r="G32" i="147"/>
  <c r="L31" i="147"/>
  <c r="G31" i="147"/>
  <c r="L30" i="147"/>
  <c r="G30" i="147"/>
  <c r="AJ29" i="147"/>
  <c r="L29" i="147"/>
  <c r="G29" i="147"/>
  <c r="L28" i="147"/>
  <c r="K28" i="147"/>
  <c r="AJ27" i="147"/>
  <c r="L27" i="147"/>
  <c r="L26" i="147"/>
  <c r="G26" i="147"/>
  <c r="AJ25" i="147"/>
  <c r="L25" i="147"/>
  <c r="G25" i="147"/>
  <c r="AJ24" i="147"/>
  <c r="L24" i="147"/>
  <c r="K24" i="147"/>
  <c r="L23" i="147"/>
  <c r="G23" i="147"/>
  <c r="AJ22" i="147"/>
  <c r="AJ62" i="146"/>
  <c r="AJ61" i="146"/>
  <c r="AJ60" i="146"/>
  <c r="AJ58" i="146"/>
  <c r="AJ57" i="146"/>
  <c r="AJ56" i="146"/>
  <c r="AJ54" i="146"/>
  <c r="AJ53" i="146"/>
  <c r="AJ52" i="146"/>
  <c r="AJ50" i="146"/>
  <c r="AJ49" i="146"/>
  <c r="AJ48" i="146"/>
  <c r="AJ46" i="146"/>
  <c r="AJ45" i="146"/>
  <c r="AJ44" i="146"/>
  <c r="AJ43" i="146"/>
  <c r="AJ42" i="146"/>
  <c r="AJ39" i="146"/>
  <c r="L33" i="146"/>
  <c r="K33" i="146"/>
  <c r="G33" i="146"/>
  <c r="G31" i="146"/>
  <c r="L30" i="146"/>
  <c r="K30" i="146"/>
  <c r="G30" i="146"/>
  <c r="AJ29" i="146"/>
  <c r="K29" i="146"/>
  <c r="G29" i="146"/>
  <c r="G28" i="146"/>
  <c r="AJ27" i="146"/>
  <c r="AJ26" i="146"/>
  <c r="L26" i="146"/>
  <c r="K26" i="146"/>
  <c r="G26" i="146"/>
  <c r="AJ25" i="146"/>
  <c r="K25" i="146"/>
  <c r="G25" i="146"/>
  <c r="G24" i="146"/>
  <c r="AJ23" i="146"/>
  <c r="AJ22" i="146"/>
  <c r="L22" i="146"/>
  <c r="K22" i="146"/>
  <c r="G22" i="146"/>
  <c r="AJ21" i="146"/>
  <c r="K21" i="146"/>
  <c r="G21" i="146"/>
  <c r="G20" i="146"/>
  <c r="AJ19" i="146"/>
  <c r="AJ18" i="146"/>
  <c r="AJ17" i="146"/>
  <c r="K17" i="146"/>
  <c r="G17" i="146"/>
  <c r="G16" i="146"/>
  <c r="AJ15" i="146"/>
  <c r="AJ14" i="146"/>
  <c r="L14" i="146"/>
  <c r="K14" i="146"/>
  <c r="G14" i="146"/>
  <c r="AJ13" i="146"/>
  <c r="AJ14" i="145"/>
  <c r="K14" i="145"/>
  <c r="AJ10" i="145"/>
  <c r="L10" i="145"/>
  <c r="G10" i="145"/>
  <c r="L3" i="145"/>
  <c r="G3" i="145"/>
  <c r="AJ62" i="144"/>
  <c r="AJ61" i="144"/>
  <c r="AJ53" i="144"/>
  <c r="AJ46" i="144"/>
  <c r="AJ45" i="144"/>
  <c r="G33" i="144"/>
  <c r="G30" i="144"/>
  <c r="AJ26" i="144"/>
  <c r="L26" i="144"/>
  <c r="K22" i="144"/>
  <c r="G21" i="144"/>
  <c r="AJ19" i="144"/>
  <c r="L19" i="144"/>
  <c r="K19" i="144"/>
  <c r="K18" i="144"/>
  <c r="G17" i="144"/>
  <c r="AJ15" i="144"/>
  <c r="L15" i="144"/>
  <c r="G13" i="144"/>
  <c r="AJ11" i="144"/>
  <c r="G5" i="144"/>
  <c r="K3" i="144"/>
  <c r="D14" i="141"/>
  <c r="D16" i="141"/>
  <c r="D18" i="141"/>
  <c r="D20" i="141"/>
  <c r="D23" i="141"/>
  <c r="D25" i="141"/>
  <c r="D30" i="141"/>
  <c r="D4" i="141"/>
  <c r="AJ60" i="143"/>
  <c r="AJ56" i="143"/>
  <c r="AJ49" i="143"/>
  <c r="AJ44" i="143"/>
  <c r="AJ42" i="143"/>
  <c r="K33" i="143"/>
  <c r="L27" i="143"/>
  <c r="AJ26" i="143"/>
  <c r="L26" i="143"/>
  <c r="K26" i="143"/>
  <c r="L23" i="143"/>
  <c r="AJ22" i="143"/>
  <c r="L22" i="143"/>
  <c r="K22" i="143"/>
  <c r="AJ18" i="143"/>
  <c r="K18" i="143"/>
  <c r="AJ15" i="143"/>
  <c r="K14" i="143"/>
  <c r="AJ10" i="143"/>
  <c r="G10" i="143"/>
  <c r="AJ9" i="143"/>
  <c r="K5" i="143"/>
  <c r="L3" i="143"/>
  <c r="K3" i="143"/>
  <c r="G3" i="143"/>
  <c r="C13" i="141"/>
  <c r="C14" i="141"/>
  <c r="C16" i="141"/>
  <c r="C18" i="141"/>
  <c r="C20" i="141"/>
  <c r="C21" i="141"/>
  <c r="C23" i="141"/>
  <c r="C25" i="141"/>
  <c r="C27" i="141"/>
  <c r="C30" i="141"/>
  <c r="C32" i="141"/>
  <c r="AJ60" i="142"/>
  <c r="AJ48" i="142"/>
  <c r="AJ44" i="142"/>
  <c r="AJ43" i="142"/>
  <c r="AJ42" i="142"/>
  <c r="AJ41" i="142"/>
  <c r="K33" i="142"/>
  <c r="G33" i="142"/>
  <c r="AJ26" i="142"/>
  <c r="K26" i="142"/>
  <c r="K23" i="142"/>
  <c r="K22" i="142"/>
  <c r="G22" i="142"/>
  <c r="G21" i="142"/>
  <c r="AJ18" i="142"/>
  <c r="K18" i="142"/>
  <c r="K15" i="142"/>
  <c r="AJ14" i="142"/>
  <c r="G14" i="142"/>
  <c r="G13" i="142"/>
  <c r="AJ11" i="142"/>
  <c r="K11" i="142"/>
  <c r="K10" i="142"/>
  <c r="K3" i="142"/>
  <c r="G3" i="142"/>
  <c r="G5" i="133"/>
  <c r="G14" i="133"/>
  <c r="G15" i="133"/>
  <c r="G18" i="133"/>
  <c r="G19" i="133"/>
  <c r="G20" i="133"/>
  <c r="G21" i="133"/>
  <c r="G22" i="133"/>
  <c r="G23" i="133"/>
  <c r="G24" i="133"/>
  <c r="G25" i="133"/>
  <c r="G26" i="133"/>
  <c r="G3" i="133"/>
  <c r="B13" i="141"/>
  <c r="L70" i="3"/>
  <c r="AJ60" i="133"/>
  <c r="AJ43" i="133"/>
  <c r="AJ4" i="133"/>
  <c r="K13" i="146"/>
  <c r="G13" i="146"/>
  <c r="AJ11" i="146"/>
  <c r="AJ10" i="146"/>
  <c r="G10" i="146"/>
  <c r="K9" i="146"/>
  <c r="K5" i="146"/>
  <c r="G4" i="146"/>
  <c r="K3" i="146"/>
  <c r="AJ62" i="145"/>
  <c r="AJ61" i="145"/>
  <c r="AJ58" i="145"/>
  <c r="AJ57" i="145"/>
  <c r="AJ54" i="145"/>
  <c r="AJ53" i="145"/>
  <c r="AJ50" i="145"/>
  <c r="AJ49" i="145"/>
  <c r="AJ46" i="145"/>
  <c r="AJ45" i="145"/>
  <c r="AJ44" i="145"/>
  <c r="L33" i="145"/>
  <c r="K33" i="145"/>
  <c r="G33" i="145"/>
  <c r="L32" i="145"/>
  <c r="L30" i="145"/>
  <c r="K30" i="145"/>
  <c r="G30" i="145"/>
  <c r="K29" i="145"/>
  <c r="G29" i="145"/>
  <c r="AJ27" i="145"/>
  <c r="L27" i="145"/>
  <c r="AJ26" i="145"/>
  <c r="L26" i="145"/>
  <c r="K26" i="145"/>
  <c r="G26" i="145"/>
  <c r="K25" i="145"/>
  <c r="G25" i="145"/>
  <c r="AJ23" i="145"/>
  <c r="L23" i="145"/>
  <c r="AJ22" i="145"/>
  <c r="K21" i="145"/>
  <c r="G21" i="145"/>
  <c r="AJ19" i="145"/>
  <c r="L19" i="145"/>
  <c r="K19" i="145"/>
  <c r="AJ18" i="145"/>
  <c r="L18" i="145"/>
  <c r="K18" i="145"/>
  <c r="G18" i="145"/>
  <c r="K17" i="145"/>
  <c r="G17" i="145"/>
  <c r="L15" i="145"/>
  <c r="L14" i="145"/>
  <c r="G14" i="145"/>
  <c r="K13" i="145"/>
  <c r="G13" i="145"/>
  <c r="AJ11" i="145"/>
  <c r="K10" i="145"/>
  <c r="K9" i="145"/>
  <c r="G9" i="145"/>
  <c r="L8" i="145"/>
  <c r="G7" i="145"/>
  <c r="K5" i="145"/>
  <c r="G5" i="145"/>
  <c r="K3" i="145"/>
  <c r="AJ57" i="144"/>
  <c r="AJ54" i="144"/>
  <c r="AJ50" i="144"/>
  <c r="AJ49" i="144"/>
  <c r="AJ47" i="144"/>
  <c r="E35" i="144"/>
  <c r="L33" i="144"/>
  <c r="K33" i="144"/>
  <c r="K30" i="144"/>
  <c r="G29" i="144"/>
  <c r="L27" i="144"/>
  <c r="G26" i="144"/>
  <c r="G25" i="144"/>
  <c r="L23" i="144"/>
  <c r="AJ22" i="144"/>
  <c r="L22" i="144"/>
  <c r="G22" i="144"/>
  <c r="AJ18" i="144"/>
  <c r="L18" i="144"/>
  <c r="G18" i="144"/>
  <c r="AJ14" i="144"/>
  <c r="K14" i="144"/>
  <c r="G14" i="144"/>
  <c r="L6" i="144"/>
  <c r="D13" i="141"/>
  <c r="D17" i="141"/>
  <c r="D19" i="141"/>
  <c r="D21" i="141"/>
  <c r="D24" i="141"/>
  <c r="D27" i="141"/>
  <c r="D29" i="141"/>
  <c r="D32" i="141"/>
  <c r="AJ61" i="143"/>
  <c r="AJ57" i="143"/>
  <c r="AJ53" i="143"/>
  <c r="AJ52" i="143"/>
  <c r="AJ48" i="143"/>
  <c r="AJ45" i="143"/>
  <c r="AJ43" i="143"/>
  <c r="L33" i="143"/>
  <c r="G33" i="143"/>
  <c r="L32" i="143"/>
  <c r="L30" i="143"/>
  <c r="K30" i="143"/>
  <c r="G30" i="143"/>
  <c r="K29" i="143"/>
  <c r="G29" i="143"/>
  <c r="AJ27" i="143"/>
  <c r="G26" i="143"/>
  <c r="K25" i="143"/>
  <c r="G25" i="143"/>
  <c r="AJ23" i="143"/>
  <c r="G22" i="143"/>
  <c r="K21" i="143"/>
  <c r="G21" i="143"/>
  <c r="AJ19" i="143"/>
  <c r="L19" i="143"/>
  <c r="L18" i="143"/>
  <c r="G18" i="143"/>
  <c r="K17" i="143"/>
  <c r="G17" i="143"/>
  <c r="AJ14" i="143"/>
  <c r="G13" i="143"/>
  <c r="K9" i="143"/>
  <c r="G5" i="143"/>
  <c r="G4" i="143"/>
  <c r="C12" i="141"/>
  <c r="C15" i="141"/>
  <c r="C17" i="141"/>
  <c r="C19" i="141"/>
  <c r="C22" i="141"/>
  <c r="C24" i="141"/>
  <c r="C26" i="141"/>
  <c r="C28" i="141"/>
  <c r="C29" i="141"/>
  <c r="C31" i="141"/>
  <c r="C33" i="141"/>
  <c r="AJ61" i="142"/>
  <c r="AJ57" i="142"/>
  <c r="AJ52" i="142"/>
  <c r="AJ49" i="142"/>
  <c r="AJ45" i="142"/>
  <c r="K32" i="142"/>
  <c r="K30" i="142"/>
  <c r="G30" i="142"/>
  <c r="AJ27" i="142"/>
  <c r="L27" i="142"/>
  <c r="K27" i="142"/>
  <c r="G27" i="142"/>
  <c r="G26" i="142"/>
  <c r="G25" i="142"/>
  <c r="AJ23" i="142"/>
  <c r="L23" i="142"/>
  <c r="AJ22" i="142"/>
  <c r="AJ19" i="142"/>
  <c r="L19" i="142"/>
  <c r="K19" i="142"/>
  <c r="G18" i="142"/>
  <c r="G17" i="142"/>
  <c r="AJ15" i="142"/>
  <c r="L15" i="142"/>
  <c r="K14" i="142"/>
  <c r="AJ10" i="142"/>
  <c r="G4" i="133"/>
  <c r="G13" i="133"/>
  <c r="G16" i="133"/>
  <c r="G27" i="133"/>
  <c r="G28" i="133"/>
  <c r="G29" i="133"/>
  <c r="G30" i="133"/>
  <c r="G31" i="133"/>
  <c r="G32" i="133"/>
  <c r="G33" i="133"/>
  <c r="B29" i="141"/>
  <c r="L12" i="3"/>
  <c r="AJ48" i="133"/>
  <c r="L30" i="144"/>
  <c r="AJ27" i="144"/>
  <c r="K27" i="144"/>
  <c r="K26" i="144"/>
  <c r="AJ23" i="144"/>
  <c r="K23" i="144"/>
  <c r="L14" i="143"/>
  <c r="G14" i="143"/>
  <c r="K13" i="143"/>
  <c r="AJ11" i="143"/>
  <c r="L32" i="142"/>
  <c r="G29" i="142"/>
  <c r="K32" i="144"/>
  <c r="D15" i="141"/>
  <c r="D22" i="141"/>
  <c r="D26" i="141"/>
  <c r="D28" i="141"/>
  <c r="D31" i="141"/>
  <c r="D33" i="141"/>
  <c r="C5" i="141"/>
  <c r="C59" i="141" s="1"/>
  <c r="AJ56" i="142"/>
  <c r="AJ53" i="142"/>
  <c r="G10" i="142"/>
  <c r="G9" i="142"/>
  <c r="G5" i="142"/>
  <c r="G11" i="133"/>
  <c r="G18" i="146"/>
  <c r="L18" i="146"/>
  <c r="F34" i="145"/>
  <c r="L6" i="145"/>
  <c r="K7" i="145"/>
  <c r="L11" i="145"/>
  <c r="N35" i="144"/>
  <c r="K6" i="144"/>
  <c r="G7" i="144"/>
  <c r="L8" i="144"/>
  <c r="E36" i="144"/>
  <c r="K8" i="144"/>
  <c r="G9" i="144"/>
  <c r="K10" i="144"/>
  <c r="L11" i="144"/>
  <c r="F34" i="144"/>
  <c r="G10" i="144"/>
  <c r="K11" i="144"/>
  <c r="F34" i="143"/>
  <c r="K7" i="143"/>
  <c r="G7" i="143"/>
  <c r="K10" i="143"/>
  <c r="G9" i="143"/>
  <c r="D59" i="141"/>
  <c r="D66" i="141" s="1"/>
  <c r="L6" i="142"/>
  <c r="K6" i="142"/>
  <c r="G7" i="142"/>
  <c r="L8" i="142"/>
  <c r="L11" i="142"/>
  <c r="E35" i="142"/>
  <c r="E36" i="142" s="1"/>
  <c r="K8" i="142"/>
  <c r="AJ63" i="142"/>
  <c r="AJ67" i="142" s="1"/>
  <c r="AJ63" i="144"/>
  <c r="AJ67" i="144" s="1"/>
  <c r="AD69" i="146"/>
  <c r="L3" i="146"/>
  <c r="G7" i="146"/>
  <c r="K10" i="146"/>
  <c r="G12" i="146"/>
  <c r="E36" i="146"/>
  <c r="F34" i="146"/>
  <c r="G5" i="146"/>
  <c r="G9" i="146"/>
  <c r="K7" i="146"/>
  <c r="AJ63" i="146"/>
  <c r="AJ67" i="146" s="1"/>
  <c r="K4" i="146"/>
  <c r="G6" i="146"/>
  <c r="G8" i="146"/>
  <c r="G11" i="146"/>
  <c r="K12" i="146"/>
  <c r="G15" i="146"/>
  <c r="K16" i="146"/>
  <c r="G19" i="146"/>
  <c r="K20" i="146"/>
  <c r="G23" i="146"/>
  <c r="K24" i="146"/>
  <c r="G27" i="146"/>
  <c r="K28" i="146"/>
  <c r="K31" i="146"/>
  <c r="G32" i="146"/>
  <c r="C35" i="146"/>
  <c r="F35" i="146" s="1"/>
  <c r="L6" i="146"/>
  <c r="L8" i="146"/>
  <c r="L11" i="146"/>
  <c r="L15" i="146"/>
  <c r="L19" i="146"/>
  <c r="L23" i="146"/>
  <c r="L27" i="146"/>
  <c r="L32" i="146"/>
  <c r="D36" i="146"/>
  <c r="L4" i="146"/>
  <c r="AJ63" i="145"/>
  <c r="AJ67" i="145" s="1"/>
  <c r="AD69" i="145"/>
  <c r="K4" i="145"/>
  <c r="G6" i="145"/>
  <c r="G8" i="145"/>
  <c r="G11" i="145"/>
  <c r="K12" i="145"/>
  <c r="G15" i="145"/>
  <c r="K16" i="145"/>
  <c r="K20" i="145"/>
  <c r="G23" i="145"/>
  <c r="K24" i="145"/>
  <c r="G27" i="145"/>
  <c r="K28" i="145"/>
  <c r="K31" i="145"/>
  <c r="G32" i="145"/>
  <c r="C35" i="145"/>
  <c r="F35" i="145" s="1"/>
  <c r="G4" i="145"/>
  <c r="G12" i="145"/>
  <c r="G16" i="145"/>
  <c r="G20" i="145"/>
  <c r="G24" i="145"/>
  <c r="G28" i="145"/>
  <c r="G31" i="145"/>
  <c r="D36" i="145"/>
  <c r="L4" i="145"/>
  <c r="K4" i="144"/>
  <c r="L5" i="144"/>
  <c r="L7" i="144"/>
  <c r="L9" i="144"/>
  <c r="K12" i="144"/>
  <c r="L13" i="144"/>
  <c r="K16" i="144"/>
  <c r="L17" i="144"/>
  <c r="K20" i="144"/>
  <c r="L21" i="144"/>
  <c r="K24" i="144"/>
  <c r="L25" i="144"/>
  <c r="K28" i="144"/>
  <c r="L29" i="144"/>
  <c r="K31" i="144"/>
  <c r="C35" i="144"/>
  <c r="C36" i="144" s="1"/>
  <c r="L3" i="144"/>
  <c r="G4" i="144"/>
  <c r="G12" i="144"/>
  <c r="G16" i="144"/>
  <c r="G20" i="144"/>
  <c r="G24" i="144"/>
  <c r="G28" i="144"/>
  <c r="G31" i="144"/>
  <c r="G12" i="143"/>
  <c r="AD69" i="143"/>
  <c r="E6" i="3" s="1"/>
  <c r="AJ63" i="143"/>
  <c r="AJ67" i="143" s="1"/>
  <c r="K4" i="143"/>
  <c r="G6" i="143"/>
  <c r="G8" i="143"/>
  <c r="G11" i="143"/>
  <c r="K12" i="143"/>
  <c r="G15" i="143"/>
  <c r="K16" i="143"/>
  <c r="G19" i="143"/>
  <c r="K20" i="143"/>
  <c r="G23" i="143"/>
  <c r="K24" i="143"/>
  <c r="G27" i="143"/>
  <c r="K28" i="143"/>
  <c r="K31" i="143"/>
  <c r="G32" i="143"/>
  <c r="D35" i="143"/>
  <c r="D36" i="143" s="1"/>
  <c r="C36" i="143"/>
  <c r="G16" i="143"/>
  <c r="G20" i="143"/>
  <c r="G24" i="143"/>
  <c r="G28" i="143"/>
  <c r="G31" i="143"/>
  <c r="L6" i="143"/>
  <c r="L8" i="143"/>
  <c r="L11" i="143"/>
  <c r="L15" i="143"/>
  <c r="E36" i="143"/>
  <c r="C66" i="141"/>
  <c r="K4" i="142"/>
  <c r="L5" i="142"/>
  <c r="L7" i="142"/>
  <c r="L9" i="142"/>
  <c r="K12" i="142"/>
  <c r="L13" i="142"/>
  <c r="K16" i="142"/>
  <c r="L17" i="142"/>
  <c r="K20" i="142"/>
  <c r="L21" i="142"/>
  <c r="K24" i="142"/>
  <c r="L25" i="142"/>
  <c r="K28" i="142"/>
  <c r="L29" i="142"/>
  <c r="K31" i="142"/>
  <c r="F34" i="142"/>
  <c r="D35" i="142"/>
  <c r="D36" i="142" s="1"/>
  <c r="C36" i="142"/>
  <c r="G4" i="142"/>
  <c r="G12" i="142"/>
  <c r="G16" i="142"/>
  <c r="G20" i="142"/>
  <c r="G24" i="142"/>
  <c r="G28" i="142"/>
  <c r="G31" i="142"/>
  <c r="AJ63" i="133"/>
  <c r="AJ67" i="133" s="1"/>
  <c r="AJ69" i="133" s="1"/>
  <c r="B59" i="141"/>
  <c r="AD68" i="133"/>
  <c r="AD69" i="133" s="1"/>
  <c r="E4" i="3" s="1"/>
  <c r="E8" i="3" s="1"/>
  <c r="F28" i="3"/>
  <c r="M70" i="141" l="1"/>
  <c r="M61" i="141"/>
  <c r="K66" i="141"/>
  <c r="J66" i="141"/>
  <c r="G66" i="141"/>
  <c r="G70" i="141" s="1"/>
  <c r="G61" i="141"/>
  <c r="E70" i="141"/>
  <c r="O59" i="141"/>
  <c r="O65" i="141" s="1"/>
  <c r="O66" i="141" s="1"/>
  <c r="Q66" i="141" s="1"/>
  <c r="E61" i="141"/>
  <c r="L34" i="152"/>
  <c r="D36" i="152"/>
  <c r="F36" i="152" s="1"/>
  <c r="D88" i="3" s="1"/>
  <c r="F88" i="3" s="1"/>
  <c r="AJ63" i="152"/>
  <c r="AJ67" i="152" s="1"/>
  <c r="AJ69" i="152" s="1"/>
  <c r="K34" i="152"/>
  <c r="L34" i="151"/>
  <c r="F35" i="151"/>
  <c r="L60" i="141" s="1"/>
  <c r="AJ63" i="151"/>
  <c r="AJ67" i="151" s="1"/>
  <c r="AJ69" i="151" s="1"/>
  <c r="K34" i="151"/>
  <c r="E36" i="151"/>
  <c r="D36" i="151"/>
  <c r="F36" i="151" s="1"/>
  <c r="D87" i="3" s="1"/>
  <c r="F87" i="3" s="1"/>
  <c r="L34" i="150"/>
  <c r="K34" i="150"/>
  <c r="E36" i="150"/>
  <c r="AJ63" i="150"/>
  <c r="AJ67" i="150" s="1"/>
  <c r="AJ69" i="150" s="1"/>
  <c r="F35" i="150"/>
  <c r="K60" i="141" s="1"/>
  <c r="C36" i="150"/>
  <c r="F36" i="150" s="1"/>
  <c r="D86" i="3" s="1"/>
  <c r="L34" i="149"/>
  <c r="D36" i="149"/>
  <c r="AJ63" i="149"/>
  <c r="AJ67" i="149" s="1"/>
  <c r="AJ69" i="149" s="1"/>
  <c r="E36" i="149"/>
  <c r="C36" i="149"/>
  <c r="F36" i="149" s="1"/>
  <c r="D64" i="3" s="1"/>
  <c r="F64" i="3" s="1"/>
  <c r="K34" i="149"/>
  <c r="F35" i="149"/>
  <c r="J60" i="141" s="1"/>
  <c r="L34" i="148"/>
  <c r="E36" i="148"/>
  <c r="D36" i="148"/>
  <c r="C36" i="148"/>
  <c r="F36" i="148" s="1"/>
  <c r="D63" i="3" s="1"/>
  <c r="F63" i="3" s="1"/>
  <c r="AJ63" i="148"/>
  <c r="AJ67" i="148" s="1"/>
  <c r="AJ69" i="148" s="1"/>
  <c r="K34" i="148"/>
  <c r="F35" i="148"/>
  <c r="I60" i="141" s="1"/>
  <c r="O3" i="147"/>
  <c r="O4" i="147" s="1"/>
  <c r="L34" i="147"/>
  <c r="C36" i="147"/>
  <c r="F35" i="147"/>
  <c r="H60" i="141" s="1"/>
  <c r="AJ63" i="147"/>
  <c r="AJ67" i="147" s="1"/>
  <c r="AJ69" i="147" s="1"/>
  <c r="K34" i="147"/>
  <c r="D36" i="147"/>
  <c r="E36" i="147"/>
  <c r="F35" i="142"/>
  <c r="C60" i="141" s="1"/>
  <c r="C67" i="141" s="1"/>
  <c r="C69" i="141" s="1"/>
  <c r="K34" i="144"/>
  <c r="K34" i="145"/>
  <c r="L34" i="142"/>
  <c r="C36" i="145"/>
  <c r="F36" i="145" s="1"/>
  <c r="F36" i="144"/>
  <c r="F35" i="143"/>
  <c r="D60" i="141" s="1"/>
  <c r="AJ68" i="145"/>
  <c r="AJ69" i="145" s="1"/>
  <c r="AJ68" i="144"/>
  <c r="AJ69" i="144" s="1"/>
  <c r="AJ68" i="146"/>
  <c r="AJ69" i="146" s="1"/>
  <c r="C70" i="141"/>
  <c r="C61" i="141"/>
  <c r="K34" i="142"/>
  <c r="K34" i="146"/>
  <c r="L34" i="146"/>
  <c r="C36" i="146"/>
  <c r="F36" i="146" s="1"/>
  <c r="L34" i="145"/>
  <c r="F35" i="144"/>
  <c r="L34" i="144"/>
  <c r="AJ68" i="143"/>
  <c r="AJ69" i="143" s="1"/>
  <c r="AJ68" i="142"/>
  <c r="AJ69" i="142" s="1"/>
  <c r="K34" i="143"/>
  <c r="F36" i="143"/>
  <c r="D6" i="3" s="1"/>
  <c r="F6" i="3" s="1"/>
  <c r="L34" i="143"/>
  <c r="F36" i="142"/>
  <c r="D5" i="3" s="1"/>
  <c r="F5" i="3" s="1"/>
  <c r="B66" i="141"/>
  <c r="L61" i="141" l="1"/>
  <c r="L67" i="141"/>
  <c r="L69" i="141" s="1"/>
  <c r="L70" i="141" s="1"/>
  <c r="K61" i="141"/>
  <c r="K67" i="141"/>
  <c r="K69" i="141" s="1"/>
  <c r="K70" i="141" s="1"/>
  <c r="F86" i="3"/>
  <c r="F90" i="3" s="1"/>
  <c r="D104" i="3" s="1"/>
  <c r="F104" i="3" s="1"/>
  <c r="D90" i="3"/>
  <c r="J61" i="141"/>
  <c r="J67" i="141"/>
  <c r="J69" i="141" s="1"/>
  <c r="J70" i="141" s="1"/>
  <c r="I61" i="141"/>
  <c r="I67" i="141"/>
  <c r="I69" i="141" s="1"/>
  <c r="I70" i="141" s="1"/>
  <c r="H61" i="141"/>
  <c r="H67" i="141"/>
  <c r="H69" i="141" s="1"/>
  <c r="H70" i="141" s="1"/>
  <c r="O5" i="147"/>
  <c r="O6" i="147" s="1"/>
  <c r="O7" i="147" s="1"/>
  <c r="O8" i="147" s="1"/>
  <c r="O9" i="147" s="1"/>
  <c r="O10" i="147" s="1"/>
  <c r="O11" i="147" s="1"/>
  <c r="O12" i="147" s="1"/>
  <c r="O13" i="147" s="1"/>
  <c r="O14" i="147" s="1"/>
  <c r="O15" i="147" s="1"/>
  <c r="O16" i="147" s="1"/>
  <c r="O17" i="147" s="1"/>
  <c r="O18" i="147" s="1"/>
  <c r="O19" i="147" s="1"/>
  <c r="O20" i="147" s="1"/>
  <c r="O21" i="147" s="1"/>
  <c r="O22" i="147" s="1"/>
  <c r="O23" i="147" s="1"/>
  <c r="Q59" i="141"/>
  <c r="F36" i="147"/>
  <c r="D62" i="3" s="1"/>
  <c r="D67" i="141"/>
  <c r="D69" i="141" s="1"/>
  <c r="D70" i="141" s="1"/>
  <c r="D61" i="141"/>
  <c r="G35" i="133"/>
  <c r="B35" i="133"/>
  <c r="N34" i="133"/>
  <c r="M34" i="133"/>
  <c r="J34" i="133"/>
  <c r="H34" i="133"/>
  <c r="E34" i="133"/>
  <c r="E35" i="133" s="1"/>
  <c r="D34" i="133"/>
  <c r="D35" i="133" s="1"/>
  <c r="C34" i="133"/>
  <c r="B34" i="133"/>
  <c r="K33" i="133"/>
  <c r="L32" i="133"/>
  <c r="K32" i="133"/>
  <c r="K31" i="133"/>
  <c r="K30" i="133"/>
  <c r="L30" i="133"/>
  <c r="K29" i="133"/>
  <c r="L29" i="133"/>
  <c r="K28" i="133"/>
  <c r="L28" i="133"/>
  <c r="K27" i="133"/>
  <c r="L27" i="133"/>
  <c r="K26" i="133"/>
  <c r="L26" i="133"/>
  <c r="L25" i="133"/>
  <c r="K24" i="133"/>
  <c r="L24" i="133"/>
  <c r="L23" i="133"/>
  <c r="K22" i="133"/>
  <c r="L22" i="133"/>
  <c r="L21" i="133"/>
  <c r="K20" i="133"/>
  <c r="L20" i="133"/>
  <c r="L19" i="133"/>
  <c r="K18" i="133"/>
  <c r="L18" i="133"/>
  <c r="L17" i="133"/>
  <c r="K16" i="133"/>
  <c r="L16" i="133"/>
  <c r="L15" i="133"/>
  <c r="K14" i="133"/>
  <c r="L14" i="133"/>
  <c r="L13" i="133"/>
  <c r="K12" i="133"/>
  <c r="L12" i="133"/>
  <c r="L11" i="133"/>
  <c r="L10" i="133"/>
  <c r="L9" i="133"/>
  <c r="L8" i="133"/>
  <c r="L7" i="133"/>
  <c r="L6" i="133"/>
  <c r="K5" i="133"/>
  <c r="L5" i="133"/>
  <c r="L4" i="133"/>
  <c r="K3" i="133"/>
  <c r="D66" i="3" l="1"/>
  <c r="F62" i="3"/>
  <c r="F66" i="3" s="1"/>
  <c r="D80" i="3" s="1"/>
  <c r="F80" i="3" s="1"/>
  <c r="O24" i="147"/>
  <c r="O25" i="147" s="1"/>
  <c r="O26" i="147" s="1"/>
  <c r="O27" i="147" s="1"/>
  <c r="O28" i="147" s="1"/>
  <c r="O29" i="147" s="1"/>
  <c r="O30" i="147" s="1"/>
  <c r="O31" i="147" s="1"/>
  <c r="O32" i="147" s="1"/>
  <c r="O33" i="147" s="1"/>
  <c r="K4" i="133"/>
  <c r="K13" i="133"/>
  <c r="K15" i="133"/>
  <c r="K17" i="133"/>
  <c r="K19" i="133"/>
  <c r="K21" i="133"/>
  <c r="K23" i="133"/>
  <c r="K25" i="133"/>
  <c r="L33" i="133"/>
  <c r="N35" i="133"/>
  <c r="K11" i="133"/>
  <c r="K10" i="133"/>
  <c r="K9" i="133"/>
  <c r="D36" i="133"/>
  <c r="K8" i="133"/>
  <c r="K7" i="133"/>
  <c r="F34" i="133"/>
  <c r="K6" i="133"/>
  <c r="E36" i="133"/>
  <c r="L31" i="133"/>
  <c r="C35" i="133"/>
  <c r="F35" i="133" s="1"/>
  <c r="B60" i="141" s="1"/>
  <c r="L3" i="133"/>
  <c r="P33" i="147" l="1"/>
  <c r="P2" i="148" s="1"/>
  <c r="O3" i="148" s="1"/>
  <c r="O4" i="148" s="1"/>
  <c r="O5" i="148" s="1"/>
  <c r="O6" i="148" s="1"/>
  <c r="O7" i="148" s="1"/>
  <c r="O8" i="148" s="1"/>
  <c r="O9" i="148" s="1"/>
  <c r="O10" i="148" s="1"/>
  <c r="O11" i="148" s="1"/>
  <c r="O12" i="148" s="1"/>
  <c r="O13" i="148" s="1"/>
  <c r="O14" i="148" s="1"/>
  <c r="O15" i="148" s="1"/>
  <c r="O16" i="148" s="1"/>
  <c r="O17" i="148" s="1"/>
  <c r="O18" i="148" s="1"/>
  <c r="O19" i="148" s="1"/>
  <c r="O20" i="148" s="1"/>
  <c r="O21" i="148" s="1"/>
  <c r="O22" i="148" s="1"/>
  <c r="O23" i="148" s="1"/>
  <c r="O24" i="148" s="1"/>
  <c r="O25" i="148" s="1"/>
  <c r="O26" i="148" s="1"/>
  <c r="O27" i="148" s="1"/>
  <c r="O28" i="148" s="1"/>
  <c r="O29" i="148" s="1"/>
  <c r="O30" i="148" s="1"/>
  <c r="O31" i="148" s="1"/>
  <c r="O32" i="148" s="1"/>
  <c r="O33" i="148" s="1"/>
  <c r="P33" i="148" s="1"/>
  <c r="P2" i="149" s="1"/>
  <c r="O3" i="149" s="1"/>
  <c r="O4" i="149" s="1"/>
  <c r="O5" i="149" s="1"/>
  <c r="O6" i="149" s="1"/>
  <c r="O7" i="149" s="1"/>
  <c r="O8" i="149" s="1"/>
  <c r="O9" i="149" s="1"/>
  <c r="O10" i="149" s="1"/>
  <c r="O11" i="149" s="1"/>
  <c r="O12" i="149" s="1"/>
  <c r="O13" i="149" s="1"/>
  <c r="O14" i="149" s="1"/>
  <c r="O15" i="149" s="1"/>
  <c r="O16" i="149" s="1"/>
  <c r="O17" i="149" s="1"/>
  <c r="O18" i="149" s="1"/>
  <c r="O19" i="149" s="1"/>
  <c r="O20" i="149" s="1"/>
  <c r="O21" i="149" s="1"/>
  <c r="O22" i="149" s="1"/>
  <c r="O23" i="149" s="1"/>
  <c r="O24" i="149" s="1"/>
  <c r="O25" i="149" s="1"/>
  <c r="O26" i="149" s="1"/>
  <c r="O27" i="149" s="1"/>
  <c r="O28" i="149" s="1"/>
  <c r="O29" i="149" s="1"/>
  <c r="O30" i="149" s="1"/>
  <c r="O31" i="149" s="1"/>
  <c r="O32" i="149" s="1"/>
  <c r="O33" i="149" s="1"/>
  <c r="P33" i="149" s="1"/>
  <c r="P2" i="150" s="1"/>
  <c r="O3" i="150" s="1"/>
  <c r="O4" i="150" s="1"/>
  <c r="O5" i="150" s="1"/>
  <c r="O6" i="150" s="1"/>
  <c r="O7" i="150" s="1"/>
  <c r="O8" i="150" s="1"/>
  <c r="O9" i="150" s="1"/>
  <c r="O10" i="150" s="1"/>
  <c r="O11" i="150" s="1"/>
  <c r="O12" i="150" s="1"/>
  <c r="O13" i="150" s="1"/>
  <c r="O14" i="150" s="1"/>
  <c r="O15" i="150" s="1"/>
  <c r="O16" i="150" s="1"/>
  <c r="O17" i="150" s="1"/>
  <c r="O18" i="150" s="1"/>
  <c r="O19" i="150" s="1"/>
  <c r="O20" i="150" s="1"/>
  <c r="O21" i="150" s="1"/>
  <c r="O22" i="150" s="1"/>
  <c r="O23" i="150" s="1"/>
  <c r="O24" i="150" s="1"/>
  <c r="O25" i="150" s="1"/>
  <c r="O26" i="150" s="1"/>
  <c r="O27" i="150" s="1"/>
  <c r="O28" i="150" s="1"/>
  <c r="O29" i="150" s="1"/>
  <c r="O30" i="150" s="1"/>
  <c r="O31" i="150" s="1"/>
  <c r="O32" i="150" s="1"/>
  <c r="O33" i="150" s="1"/>
  <c r="P33" i="150" s="1"/>
  <c r="P2" i="151" s="1"/>
  <c r="O3" i="151" s="1"/>
  <c r="O4" i="151" s="1"/>
  <c r="O5" i="151" s="1"/>
  <c r="O6" i="151" s="1"/>
  <c r="O7" i="151" s="1"/>
  <c r="O8" i="151" s="1"/>
  <c r="O9" i="151" s="1"/>
  <c r="O10" i="151" s="1"/>
  <c r="O11" i="151" s="1"/>
  <c r="O12" i="151" s="1"/>
  <c r="O13" i="151" s="1"/>
  <c r="O14" i="151" s="1"/>
  <c r="O15" i="151" s="1"/>
  <c r="O16" i="151" s="1"/>
  <c r="O17" i="151" s="1"/>
  <c r="O18" i="151" s="1"/>
  <c r="O19" i="151" s="1"/>
  <c r="O20" i="151" s="1"/>
  <c r="O21" i="151" s="1"/>
  <c r="O22" i="151" s="1"/>
  <c r="O23" i="151" s="1"/>
  <c r="O24" i="151" s="1"/>
  <c r="O25" i="151" s="1"/>
  <c r="O26" i="151" s="1"/>
  <c r="O27" i="151" s="1"/>
  <c r="O28" i="151" s="1"/>
  <c r="O29" i="151" s="1"/>
  <c r="O30" i="151" s="1"/>
  <c r="O31" i="151" s="1"/>
  <c r="O32" i="151" s="1"/>
  <c r="O33" i="151" s="1"/>
  <c r="P33" i="151" s="1"/>
  <c r="P2" i="152" s="1"/>
  <c r="O3" i="152" s="1"/>
  <c r="O4" i="152" s="1"/>
  <c r="O5" i="152" s="1"/>
  <c r="O6" i="152" s="1"/>
  <c r="O7" i="152" s="1"/>
  <c r="O8" i="152" s="1"/>
  <c r="O9" i="152" s="1"/>
  <c r="O10" i="152" s="1"/>
  <c r="O11" i="152" s="1"/>
  <c r="O12" i="152" s="1"/>
  <c r="O13" i="152" s="1"/>
  <c r="O14" i="152" s="1"/>
  <c r="O15" i="152" s="1"/>
  <c r="O16" i="152" s="1"/>
  <c r="O17" i="152" s="1"/>
  <c r="O18" i="152" s="1"/>
  <c r="O19" i="152" s="1"/>
  <c r="O20" i="152" s="1"/>
  <c r="O21" i="152" s="1"/>
  <c r="O22" i="152" s="1"/>
  <c r="O23" i="152" s="1"/>
  <c r="O24" i="152" s="1"/>
  <c r="O25" i="152" s="1"/>
  <c r="O26" i="152" s="1"/>
  <c r="O27" i="152" s="1"/>
  <c r="O28" i="152" s="1"/>
  <c r="O29" i="152" s="1"/>
  <c r="O30" i="152" s="1"/>
  <c r="O31" i="152" s="1"/>
  <c r="O32" i="152" s="1"/>
  <c r="O33" i="152" s="1"/>
  <c r="P33" i="152" s="1"/>
  <c r="B67" i="141"/>
  <c r="B61" i="141"/>
  <c r="K34" i="133"/>
  <c r="L34" i="133"/>
  <c r="C36" i="133"/>
  <c r="F36" i="133" s="1"/>
  <c r="D4" i="3" s="1"/>
  <c r="B69" i="141" l="1"/>
  <c r="B70" i="141" s="1"/>
  <c r="D8" i="3"/>
  <c r="F4" i="3"/>
  <c r="F8" i="3" s="1"/>
  <c r="D22" i="3" s="1"/>
  <c r="F22" i="3" s="1"/>
  <c r="O3" i="133" l="1"/>
  <c r="O4" i="133" s="1"/>
  <c r="O5" i="133" s="1"/>
  <c r="O6" i="133" s="1"/>
  <c r="O7" i="133" s="1"/>
  <c r="O8" i="133" s="1"/>
  <c r="O9" i="133" s="1"/>
  <c r="O10" i="133" s="1"/>
  <c r="O11" i="133" s="1"/>
  <c r="O12" i="133" s="1"/>
  <c r="O13" i="133" s="1"/>
  <c r="O14" i="133" s="1"/>
  <c r="O15" i="133" s="1"/>
  <c r="O16" i="133" s="1"/>
  <c r="O17" i="133" s="1"/>
  <c r="O18" i="133" s="1"/>
  <c r="O19" i="133" s="1"/>
  <c r="O20" i="133" s="1"/>
  <c r="O21" i="133" s="1"/>
  <c r="O22" i="133" s="1"/>
  <c r="O23" i="133" s="1"/>
  <c r="O24" i="133" s="1"/>
  <c r="O25" i="133" s="1"/>
  <c r="O26" i="133" s="1"/>
  <c r="O27" i="133" s="1"/>
  <c r="O28" i="133" s="1"/>
  <c r="O29" i="133" s="1"/>
  <c r="O30" i="133" s="1"/>
  <c r="O31" i="133" s="1"/>
  <c r="O32" i="133" s="1"/>
  <c r="O33" i="133" s="1"/>
  <c r="P33" i="133" l="1"/>
  <c r="P2" i="142" l="1"/>
  <c r="O3" i="142" s="1"/>
  <c r="O4" i="142" s="1"/>
  <c r="O5" i="142" s="1"/>
  <c r="O6" i="142" s="1"/>
  <c r="O7" i="142" s="1"/>
  <c r="O8" i="142" s="1"/>
  <c r="O9" i="142" s="1"/>
  <c r="O10" i="142" s="1"/>
  <c r="O11" i="142" s="1"/>
  <c r="O12" i="142" s="1"/>
  <c r="O13" i="142" s="1"/>
  <c r="O14" i="142" s="1"/>
  <c r="O15" i="142" s="1"/>
  <c r="O16" i="142" s="1"/>
  <c r="O17" i="142" s="1"/>
  <c r="O18" i="142" s="1"/>
  <c r="O19" i="142" s="1"/>
  <c r="O20" i="142" s="1"/>
  <c r="O21" i="142" s="1"/>
  <c r="O22" i="142" s="1"/>
  <c r="O23" i="142" s="1"/>
  <c r="O24" i="142" s="1"/>
  <c r="O25" i="142" s="1"/>
  <c r="O26" i="142" s="1"/>
  <c r="O27" i="142" s="1"/>
  <c r="O28" i="142" s="1"/>
  <c r="O29" i="142" s="1"/>
  <c r="O30" i="142" s="1"/>
  <c r="O31" i="142" s="1"/>
  <c r="O32" i="142" s="1"/>
  <c r="O33" i="142" s="1"/>
  <c r="P33" i="142" l="1"/>
  <c r="P2" i="143" l="1"/>
  <c r="O3" i="143" s="1"/>
  <c r="O4" i="143" s="1"/>
  <c r="O5" i="143" s="1"/>
  <c r="O6" i="143" s="1"/>
  <c r="O7" i="143" s="1"/>
  <c r="O8" i="143" s="1"/>
  <c r="O9" i="143" s="1"/>
  <c r="O10" i="143" s="1"/>
  <c r="O11" i="143" s="1"/>
  <c r="O12" i="143" s="1"/>
  <c r="O13" i="143" s="1"/>
  <c r="O14" i="143" s="1"/>
  <c r="O15" i="143" s="1"/>
  <c r="O16" i="143" s="1"/>
  <c r="O17" i="143" s="1"/>
  <c r="O18" i="143" s="1"/>
  <c r="O19" i="143" s="1"/>
  <c r="O20" i="143" s="1"/>
  <c r="O21" i="143" s="1"/>
  <c r="O22" i="143" s="1"/>
  <c r="O23" i="143" s="1"/>
  <c r="O24" i="143" s="1"/>
  <c r="O25" i="143" s="1"/>
  <c r="O26" i="143" s="1"/>
  <c r="O27" i="143" s="1"/>
  <c r="O28" i="143" s="1"/>
  <c r="O29" i="143" s="1"/>
  <c r="O30" i="143" s="1"/>
  <c r="O31" i="143" s="1"/>
  <c r="O32" i="143" s="1"/>
  <c r="O33" i="143" s="1"/>
  <c r="P33" i="143" l="1"/>
  <c r="P2" i="144" s="1"/>
  <c r="O3" i="144" s="1"/>
  <c r="O4" i="144" s="1"/>
  <c r="O5" i="144" s="1"/>
  <c r="O6" i="144" s="1"/>
  <c r="O7" i="144" s="1"/>
  <c r="O8" i="144" s="1"/>
  <c r="O9" i="144" s="1"/>
  <c r="O10" i="144" s="1"/>
  <c r="O11" i="144" s="1"/>
  <c r="O12" i="144" s="1"/>
  <c r="O13" i="144" s="1"/>
  <c r="O14" i="144" s="1"/>
  <c r="O15" i="144" s="1"/>
  <c r="O16" i="144" s="1"/>
  <c r="O17" i="144" s="1"/>
  <c r="O18" i="144" s="1"/>
  <c r="O19" i="144" s="1"/>
  <c r="O20" i="144" s="1"/>
  <c r="O21" i="144" s="1"/>
  <c r="O22" i="144" s="1"/>
  <c r="O23" i="144" s="1"/>
  <c r="O24" i="144" s="1"/>
  <c r="O25" i="144" s="1"/>
  <c r="O26" i="144" s="1"/>
  <c r="O27" i="144" s="1"/>
  <c r="O28" i="144" s="1"/>
  <c r="O29" i="144" s="1"/>
  <c r="O30" i="144" s="1"/>
  <c r="O31" i="144" s="1"/>
  <c r="O32" i="144" s="1"/>
  <c r="O33" i="144" s="1"/>
  <c r="P33" i="144" l="1"/>
  <c r="P2" i="145" s="1"/>
  <c r="O3" i="145" s="1"/>
  <c r="O4" i="145" s="1"/>
  <c r="O5" i="145" s="1"/>
  <c r="O6" i="145" s="1"/>
  <c r="O7" i="145" s="1"/>
  <c r="O8" i="145" s="1"/>
  <c r="O9" i="145" s="1"/>
  <c r="O10" i="145" s="1"/>
  <c r="O11" i="145" s="1"/>
  <c r="O12" i="145" s="1"/>
  <c r="O13" i="145" s="1"/>
  <c r="O14" i="145" s="1"/>
  <c r="O15" i="145" s="1"/>
  <c r="O16" i="145" s="1"/>
  <c r="O17" i="145" s="1"/>
  <c r="O18" i="145" s="1"/>
  <c r="O19" i="145" s="1"/>
  <c r="O20" i="145" s="1"/>
  <c r="O21" i="145" s="1"/>
  <c r="O22" i="145" s="1"/>
  <c r="O23" i="145" s="1"/>
  <c r="O24" i="145" s="1"/>
  <c r="O25" i="145" s="1"/>
  <c r="O26" i="145" s="1"/>
  <c r="O27" i="145" s="1"/>
  <c r="O28" i="145" s="1"/>
  <c r="O29" i="145" s="1"/>
  <c r="O30" i="145" s="1"/>
  <c r="O31" i="145" s="1"/>
  <c r="O32" i="145" s="1"/>
  <c r="O33" i="145" s="1"/>
  <c r="F67" i="141"/>
  <c r="F61" i="141"/>
  <c r="O60" i="141"/>
  <c r="P33" i="145" l="1"/>
  <c r="P2" i="146" s="1"/>
  <c r="O3" i="146" s="1"/>
  <c r="O4" i="146" s="1"/>
  <c r="O5" i="146" s="1"/>
  <c r="O6" i="146" s="1"/>
  <c r="O7" i="146" s="1"/>
  <c r="O8" i="146" s="1"/>
  <c r="O9" i="146" s="1"/>
  <c r="O10" i="146" s="1"/>
  <c r="O11" i="146" s="1"/>
  <c r="O12" i="146" s="1"/>
  <c r="O13" i="146" s="1"/>
  <c r="O14" i="146" s="1"/>
  <c r="O15" i="146" s="1"/>
  <c r="O16" i="146" s="1"/>
  <c r="O17" i="146" s="1"/>
  <c r="O18" i="146" s="1"/>
  <c r="O19" i="146" s="1"/>
  <c r="O20" i="146" s="1"/>
  <c r="O21" i="146" s="1"/>
  <c r="O22" i="146" s="1"/>
  <c r="O23" i="146" s="1"/>
  <c r="O24" i="146" s="1"/>
  <c r="O25" i="146" s="1"/>
  <c r="O26" i="146" s="1"/>
  <c r="O27" i="146" s="1"/>
  <c r="O28" i="146" s="1"/>
  <c r="O29" i="146" s="1"/>
  <c r="O30" i="146" s="1"/>
  <c r="O31" i="146" s="1"/>
  <c r="O32" i="146" s="1"/>
  <c r="O33" i="146" s="1"/>
  <c r="F69" i="141"/>
  <c r="F70" i="141" s="1"/>
  <c r="O67" i="141"/>
  <c r="Q60" i="141"/>
  <c r="Q61" i="141" s="1"/>
  <c r="O61" i="141"/>
  <c r="P33" i="146" l="1"/>
  <c r="F29" i="3"/>
  <c r="O69" i="141"/>
  <c r="Q67" i="141"/>
  <c r="O70" i="141" l="1"/>
  <c r="Q69" i="141"/>
  <c r="Q70" i="141" s="1"/>
  <c r="E32" i="3" l="1"/>
  <c r="F30" i="3" l="1"/>
  <c r="F32" i="3" s="1"/>
  <c r="D46" i="3" s="1"/>
  <c r="F46" i="3" s="1"/>
  <c r="D32" i="3"/>
</calcChain>
</file>

<file path=xl/sharedStrings.xml><?xml version="1.0" encoding="utf-8"?>
<sst xmlns="http://schemas.openxmlformats.org/spreadsheetml/2006/main" count="690" uniqueCount="90">
  <si>
    <t>TOTAL</t>
  </si>
  <si>
    <t>carte</t>
  </si>
  <si>
    <t>liquide</t>
  </si>
  <si>
    <t>solde cai</t>
  </si>
  <si>
    <t>vers ban</t>
  </si>
  <si>
    <t>DATE</t>
  </si>
  <si>
    <t xml:space="preserve">        MOUVEMENT CAISSE</t>
  </si>
  <si>
    <t>SORTIE</t>
  </si>
  <si>
    <t>TOT CAIS</t>
  </si>
  <si>
    <t>SOLDE CAISSE</t>
  </si>
  <si>
    <t>DU MOIS</t>
  </si>
  <si>
    <t>PAYEMENT FOURNISSEUR CAISSE</t>
  </si>
  <si>
    <t>MONTANT</t>
  </si>
  <si>
    <t>DATE SORTIE</t>
  </si>
  <si>
    <t xml:space="preserve"> </t>
  </si>
  <si>
    <t>HTVA</t>
  </si>
  <si>
    <t>TVA</t>
  </si>
  <si>
    <t>MARGE</t>
  </si>
  <si>
    <t>STOCK</t>
  </si>
  <si>
    <t>CAISSE MOIS PREC</t>
  </si>
  <si>
    <t>FACTURE</t>
  </si>
  <si>
    <t>cadeau0</t>
  </si>
  <si>
    <t xml:space="preserve">              RECETTE</t>
  </si>
  <si>
    <t xml:space="preserve">                                         CAISSE</t>
  </si>
  <si>
    <t>CHIFF</t>
  </si>
  <si>
    <t>FOURNISSEUR</t>
  </si>
  <si>
    <t>REFERENCE</t>
  </si>
  <si>
    <t>COMPTE</t>
  </si>
  <si>
    <t>PAIEMENT</t>
  </si>
  <si>
    <t>CAISSE</t>
  </si>
  <si>
    <t>ECHEANCE</t>
  </si>
  <si>
    <t xml:space="preserve">                      calcul de marge</t>
  </si>
  <si>
    <t>mois précèdent</t>
  </si>
  <si>
    <t>total a payer</t>
  </si>
  <si>
    <t xml:space="preserve">                                                                      </t>
  </si>
  <si>
    <t>1 er trim.</t>
  </si>
  <si>
    <t>075/6525/07152</t>
  </si>
  <si>
    <t>TVA 1 TRIM</t>
  </si>
  <si>
    <t>A PAYER</t>
  </si>
  <si>
    <t>A REMB</t>
  </si>
  <si>
    <t>RESTE A PAYER</t>
  </si>
  <si>
    <t>ONSS PAYER</t>
  </si>
  <si>
    <t xml:space="preserve">acompte </t>
  </si>
  <si>
    <t>033/1462/57996</t>
  </si>
  <si>
    <t>ONSS</t>
  </si>
  <si>
    <t>TOT onss payé</t>
  </si>
  <si>
    <t>TVA PAYER</t>
  </si>
  <si>
    <t>acompte</t>
  </si>
  <si>
    <t>solde 4 em trim. 2025</t>
  </si>
  <si>
    <t>solde</t>
  </si>
  <si>
    <t xml:space="preserve">ONSS a payer </t>
  </si>
  <si>
    <t>solde a payer</t>
  </si>
  <si>
    <t>RESTE</t>
  </si>
  <si>
    <t>2 er trim.</t>
  </si>
  <si>
    <t>TVA 2 TRIM</t>
  </si>
  <si>
    <t>3 er trim.</t>
  </si>
  <si>
    <t>TVA 3 TRIM</t>
  </si>
  <si>
    <t xml:space="preserve">                   </t>
  </si>
  <si>
    <t>4 er trim.</t>
  </si>
  <si>
    <t>TVA 4 TRIM</t>
  </si>
  <si>
    <t>JANVIER</t>
  </si>
  <si>
    <t>FEVRIER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</si>
  <si>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</si>
  <si>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</si>
  <si>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</si>
  <si>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</si>
  <si>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</si>
  <si>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</si>
  <si>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</si>
  <si>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</si>
  <si>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</si>
  <si>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</si>
  <si>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Z</t>
  </si>
  <si>
    <t>PIZZA OFFERT</t>
  </si>
  <si>
    <t>TVA RECUP</t>
  </si>
  <si>
    <t xml:space="preserve">TOTAL GENE FEUILLE </t>
  </si>
  <si>
    <t xml:space="preserve">A PÄYER </t>
  </si>
  <si>
    <t>A RECUP</t>
  </si>
  <si>
    <t xml:space="preserve">ONSS  </t>
  </si>
  <si>
    <t xml:space="preserve">TOTAL GENERALE FEUILLE </t>
  </si>
  <si>
    <t>MOIS EN COURS</t>
  </si>
  <si>
    <t>bque</t>
  </si>
  <si>
    <t>TOTAL SORTIE</t>
  </si>
  <si>
    <t>colruyt</t>
  </si>
  <si>
    <t>31042601 7246</t>
  </si>
  <si>
    <t>banotact</t>
  </si>
  <si>
    <t>big bag</t>
  </si>
  <si>
    <t>202/6017/33260</t>
  </si>
  <si>
    <t>bella sicilia</t>
  </si>
  <si>
    <t>3104260 17428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</si>
</sst>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"/>
  </numFmts>
  <fonts count="24" x14ac:knownFonts="1">
    <font>
      <sz val="10"/>
      <name val="Verdana"/>
    </font>
    <font>
      <sz val="10"/>
      <name val="Verdana"/>
      <family val="2"/>
    </font>
    <font>
      <sz val="8"/>
      <name val="Verdana"/>
      <family val="2"/>
    </font>
    <font>
      <sz val="11"/>
      <name val="Calibri"/>
      <family val="2"/>
    </font>
    <font>
      <b/>
      <sz val="10"/>
      <name val="Verdana"/>
      <family val="2"/>
    </font>
    <font>
      <sz val="10"/>
      <color rgb="FFFF0000"/>
      <name val="Verdana"/>
      <family val="2"/>
    </font>
    <font>
      <sz val="11"/>
      <color rgb="FFFF0000"/>
      <name val="Calibri"/>
      <family val="2"/>
      <scheme val="minor"/>
    </font>
    <font>
      <sz val="14"/>
      <color indexed="8"/>
      <name val="Calibri"/>
      <family val="2"/>
    </font>
    <font>
      <sz val="11"/>
      <color indexed="8"/>
      <name val="Calibri"/>
      <family val="2"/>
    </font>
    <font>
      <b/>
      <sz val="11"/>
      <color indexed="10"/>
      <name val="Calibri"/>
      <family val="2"/>
    </font>
    <font>
      <sz val="11"/>
      <color indexed="10"/>
      <name val="Calibri"/>
      <family val="2"/>
    </font>
    <font>
      <sz val="12"/>
      <color indexed="8"/>
      <name val="Calibri"/>
      <family val="2"/>
    </font>
    <font>
      <sz val="12"/>
      <name val="Calibri"/>
      <family val="2"/>
    </font>
    <font>
      <sz val="14"/>
      <name val="Calibri"/>
      <family val="2"/>
    </font>
    <font>
      <sz val="14"/>
      <color indexed="10"/>
      <name val="Calibri"/>
      <family val="2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name val="Verdana"/>
      <family val="2"/>
    </font>
    <font>
      <b/>
      <sz val="12"/>
      <color indexed="10"/>
      <name val="Calibri"/>
      <family val="2"/>
    </font>
    <font>
      <sz val="12"/>
      <color rgb="FFFF0000"/>
      <name val="Verdana"/>
      <family val="2"/>
    </font>
    <font>
      <sz val="12"/>
      <color indexed="10"/>
      <name val="Calibri"/>
      <family val="2"/>
    </font>
    <font>
      <sz val="12"/>
      <color indexed="10"/>
      <name val="Verdana"/>
      <family val="2"/>
    </font>
    <font>
      <b/>
      <sz val="12"/>
      <name val="Verdana"/>
      <family val="2"/>
    </font>
  </fonts>
  <fills count="20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47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1">
    <xf numFmtId="0" fontId="0" fillId="0" borderId="0" xfId="0"/>
    <xf numFmtId="0" fontId="0" fillId="0" borderId="4" xfId="0" applyBorder="1"/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3" fillId="0" borderId="0" xfId="0" applyFont="1"/>
    <xf numFmtId="14" fontId="0" fillId="0" borderId="0" xfId="0" applyNumberFormat="1"/>
    <xf numFmtId="0" fontId="1" fillId="0" borderId="0" xfId="0" applyFont="1"/>
    <xf numFmtId="16" fontId="0" fillId="0" borderId="0" xfId="0" applyNumberFormat="1"/>
    <xf numFmtId="0" fontId="0" fillId="7" borderId="4" xfId="0" applyFill="1" applyBorder="1" applyAlignment="1">
      <alignment horizontal="center"/>
    </xf>
    <xf numFmtId="0" fontId="0" fillId="0" borderId="22" xfId="0" applyBorder="1" applyAlignment="1">
      <alignment horizontal="center"/>
    </xf>
    <xf numFmtId="2" fontId="0" fillId="0" borderId="4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16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0" fillId="0" borderId="11" xfId="0" applyBorder="1" applyAlignment="1">
      <alignment horizontal="center"/>
    </xf>
    <xf numFmtId="0" fontId="0" fillId="0" borderId="7" xfId="0" applyBorder="1" applyAlignment="1">
      <alignment horizontal="center"/>
    </xf>
    <xf numFmtId="0" fontId="7" fillId="0" borderId="0" xfId="0" applyFont="1" applyAlignment="1">
      <alignment horizontal="center"/>
    </xf>
    <xf numFmtId="2" fontId="7" fillId="0" borderId="0" xfId="0" applyNumberFormat="1" applyFont="1"/>
    <xf numFmtId="0" fontId="7" fillId="0" borderId="0" xfId="0" applyFont="1"/>
    <xf numFmtId="2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16" fontId="10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center"/>
    </xf>
    <xf numFmtId="2" fontId="11" fillId="0" borderId="0" xfId="0" applyNumberFormat="1" applyFont="1" applyAlignment="1">
      <alignment horizontal="left"/>
    </xf>
    <xf numFmtId="0" fontId="11" fillId="0" borderId="0" xfId="0" applyFont="1" applyAlignment="1">
      <alignment horizontal="center"/>
    </xf>
    <xf numFmtId="2" fontId="12" fillId="0" borderId="0" xfId="0" applyNumberFormat="1" applyFont="1" applyAlignment="1">
      <alignment horizontal="left"/>
    </xf>
    <xf numFmtId="0" fontId="7" fillId="0" borderId="14" xfId="0" applyFont="1" applyBorder="1" applyAlignment="1">
      <alignment horizontal="center"/>
    </xf>
    <xf numFmtId="16" fontId="7" fillId="0" borderId="17" xfId="0" applyNumberFormat="1" applyFont="1" applyBorder="1" applyAlignment="1">
      <alignment horizontal="center"/>
    </xf>
    <xf numFmtId="17" fontId="12" fillId="0" borderId="0" xfId="0" applyNumberFormat="1" applyFont="1" applyAlignment="1">
      <alignment horizontal="center"/>
    </xf>
    <xf numFmtId="2" fontId="3" fillId="13" borderId="4" xfId="0" applyNumberFormat="1" applyFont="1" applyFill="1" applyBorder="1" applyAlignment="1">
      <alignment horizontal="center"/>
    </xf>
    <xf numFmtId="2" fontId="3" fillId="0" borderId="4" xfId="0" applyNumberFormat="1" applyFont="1" applyBorder="1" applyAlignment="1">
      <alignment horizontal="center"/>
    </xf>
    <xf numFmtId="2" fontId="8" fillId="0" borderId="4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2" fontId="8" fillId="13" borderId="4" xfId="0" applyNumberFormat="1" applyFont="1" applyFill="1" applyBorder="1" applyAlignment="1">
      <alignment horizontal="center"/>
    </xf>
    <xf numFmtId="2" fontId="13" fillId="0" borderId="0" xfId="0" applyNumberFormat="1" applyFont="1" applyAlignment="1">
      <alignment horizontal="center"/>
    </xf>
    <xf numFmtId="1" fontId="8" fillId="0" borderId="4" xfId="0" applyNumberFormat="1" applyFont="1" applyBorder="1" applyAlignment="1">
      <alignment horizontal="center"/>
    </xf>
    <xf numFmtId="0" fontId="14" fillId="0" borderId="0" xfId="0" applyFont="1" applyAlignment="1">
      <alignment horizontal="center"/>
    </xf>
    <xf numFmtId="2" fontId="14" fillId="0" borderId="0" xfId="0" applyNumberFormat="1" applyFont="1" applyAlignment="1">
      <alignment horizontal="center"/>
    </xf>
    <xf numFmtId="1" fontId="11" fillId="0" borderId="0" xfId="0" applyNumberFormat="1" applyFont="1" applyAlignment="1">
      <alignment horizontal="center"/>
    </xf>
    <xf numFmtId="16" fontId="7" fillId="0" borderId="0" xfId="0" applyNumberFormat="1" applyFont="1" applyAlignment="1">
      <alignment horizontal="center"/>
    </xf>
    <xf numFmtId="16" fontId="7" fillId="0" borderId="0" xfId="0" applyNumberFormat="1" applyFont="1"/>
    <xf numFmtId="0" fontId="8" fillId="0" borderId="0" xfId="0" applyFont="1" applyAlignment="1">
      <alignment horizontal="left"/>
    </xf>
    <xf numFmtId="164" fontId="8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2" fontId="8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16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2" fontId="3" fillId="0" borderId="0" xfId="0" applyNumberFormat="1" applyFont="1" applyAlignment="1">
      <alignment horizontal="center"/>
    </xf>
    <xf numFmtId="16" fontId="9" fillId="0" borderId="0" xfId="0" applyNumberFormat="1" applyFont="1" applyAlignment="1">
      <alignment horizontal="center"/>
    </xf>
    <xf numFmtId="0" fontId="15" fillId="0" borderId="12" xfId="0" applyFont="1" applyBorder="1"/>
    <xf numFmtId="0" fontId="15" fillId="0" borderId="13" xfId="0" applyFont="1" applyBorder="1"/>
    <xf numFmtId="0" fontId="15" fillId="0" borderId="16" xfId="0" applyFont="1" applyBorder="1"/>
    <xf numFmtId="0" fontId="0" fillId="0" borderId="38" xfId="0" applyBorder="1" applyAlignment="1">
      <alignment horizontal="center"/>
    </xf>
    <xf numFmtId="0" fontId="0" fillId="0" borderId="13" xfId="0" applyBorder="1"/>
    <xf numFmtId="0" fontId="0" fillId="0" borderId="16" xfId="0" applyBorder="1"/>
    <xf numFmtId="0" fontId="8" fillId="0" borderId="34" xfId="0" applyFont="1" applyBorder="1" applyAlignment="1">
      <alignment horizontal="center"/>
    </xf>
    <xf numFmtId="0" fontId="15" fillId="0" borderId="35" xfId="0" applyFont="1" applyBorder="1"/>
    <xf numFmtId="0" fontId="15" fillId="0" borderId="4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15" fillId="0" borderId="1" xfId="0" applyFont="1" applyBorder="1"/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center"/>
    </xf>
    <xf numFmtId="17" fontId="15" fillId="0" borderId="4" xfId="0" applyNumberFormat="1" applyFont="1" applyBorder="1" applyAlignment="1">
      <alignment horizontal="center"/>
    </xf>
    <xf numFmtId="2" fontId="15" fillId="16" borderId="4" xfId="0" applyNumberFormat="1" applyFont="1" applyFill="1" applyBorder="1" applyAlignment="1">
      <alignment horizontal="center"/>
    </xf>
    <xf numFmtId="2" fontId="15" fillId="13" borderId="4" xfId="0" applyNumberFormat="1" applyFont="1" applyFill="1" applyBorder="1" applyAlignment="1">
      <alignment horizontal="center"/>
    </xf>
    <xf numFmtId="2" fontId="15" fillId="7" borderId="4" xfId="0" applyNumberFormat="1" applyFont="1" applyFill="1" applyBorder="1" applyAlignment="1">
      <alignment horizontal="center"/>
    </xf>
    <xf numFmtId="0" fontId="0" fillId="0" borderId="35" xfId="0" applyBorder="1" applyAlignment="1">
      <alignment horizontal="center"/>
    </xf>
    <xf numFmtId="16" fontId="0" fillId="0" borderId="4" xfId="0" applyNumberFormat="1" applyBorder="1" applyAlignment="1">
      <alignment horizontal="center"/>
    </xf>
    <xf numFmtId="16" fontId="0" fillId="0" borderId="35" xfId="0" applyNumberFormat="1" applyBorder="1" applyAlignment="1">
      <alignment horizontal="center"/>
    </xf>
    <xf numFmtId="17" fontId="15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5" fillId="0" borderId="24" xfId="0" applyFont="1" applyBorder="1" applyAlignment="1">
      <alignment horizontal="center"/>
    </xf>
    <xf numFmtId="16" fontId="15" fillId="0" borderId="4" xfId="0" applyNumberFormat="1" applyFont="1" applyBorder="1" applyAlignment="1">
      <alignment horizontal="center"/>
    </xf>
    <xf numFmtId="16" fontId="15" fillId="0" borderId="24" xfId="0" applyNumberFormat="1" applyFont="1" applyBorder="1" applyAlignment="1">
      <alignment horizontal="center"/>
    </xf>
    <xf numFmtId="16" fontId="15" fillId="0" borderId="0" xfId="0" applyNumberFormat="1" applyFont="1" applyAlignment="1">
      <alignment horizontal="center"/>
    </xf>
    <xf numFmtId="0" fontId="0" fillId="0" borderId="35" xfId="0" applyBorder="1"/>
    <xf numFmtId="0" fontId="0" fillId="0" borderId="1" xfId="0" applyBorder="1"/>
    <xf numFmtId="2" fontId="15" fillId="17" borderId="4" xfId="0" applyNumberFormat="1" applyFont="1" applyFill="1" applyBorder="1" applyAlignment="1">
      <alignment horizontal="center"/>
    </xf>
    <xf numFmtId="2" fontId="15" fillId="8" borderId="4" xfId="0" applyNumberFormat="1" applyFont="1" applyFill="1" applyBorder="1" applyAlignment="1">
      <alignment horizontal="center"/>
    </xf>
    <xf numFmtId="0" fontId="15" fillId="0" borderId="21" xfId="0" applyFont="1" applyBorder="1"/>
    <xf numFmtId="0" fontId="15" fillId="0" borderId="37" xfId="0" applyFont="1" applyBorder="1"/>
    <xf numFmtId="0" fontId="15" fillId="0" borderId="2" xfId="0" applyFont="1" applyBorder="1"/>
    <xf numFmtId="0" fontId="0" fillId="0" borderId="21" xfId="0" applyBorder="1"/>
    <xf numFmtId="0" fontId="0" fillId="0" borderId="37" xfId="0" applyBorder="1"/>
    <xf numFmtId="0" fontId="0" fillId="0" borderId="2" xfId="0" applyBorder="1"/>
    <xf numFmtId="0" fontId="0" fillId="0" borderId="12" xfId="0" applyBorder="1"/>
    <xf numFmtId="0" fontId="0" fillId="0" borderId="16" xfId="0" applyBorder="1" applyAlignment="1">
      <alignment horizontal="center"/>
    </xf>
    <xf numFmtId="17" fontId="0" fillId="0" borderId="4" xfId="0" applyNumberFormat="1" applyBorder="1" applyAlignment="1">
      <alignment horizontal="center"/>
    </xf>
    <xf numFmtId="2" fontId="0" fillId="16" borderId="4" xfId="0" applyNumberFormat="1" applyFill="1" applyBorder="1" applyAlignment="1">
      <alignment horizontal="center"/>
    </xf>
    <xf numFmtId="2" fontId="0" fillId="13" borderId="4" xfId="0" applyNumberFormat="1" applyFill="1" applyBorder="1" applyAlignment="1">
      <alignment horizontal="center"/>
    </xf>
    <xf numFmtId="2" fontId="0" fillId="7" borderId="4" xfId="0" applyNumberFormat="1" applyFill="1" applyBorder="1" applyAlignment="1">
      <alignment horizontal="center"/>
    </xf>
    <xf numFmtId="17" fontId="0" fillId="0" borderId="0" xfId="0" applyNumberFormat="1" applyAlignment="1">
      <alignment horizontal="center"/>
    </xf>
    <xf numFmtId="0" fontId="0" fillId="0" borderId="24" xfId="0" applyBorder="1" applyAlignment="1">
      <alignment horizontal="center"/>
    </xf>
    <xf numFmtId="2" fontId="0" fillId="0" borderId="29" xfId="0" applyNumberFormat="1" applyBorder="1" applyAlignment="1">
      <alignment horizontal="center"/>
    </xf>
    <xf numFmtId="2" fontId="0" fillId="0" borderId="34" xfId="0" applyNumberFormat="1" applyBorder="1" applyAlignment="1">
      <alignment horizontal="center"/>
    </xf>
    <xf numFmtId="2" fontId="0" fillId="17" borderId="5" xfId="0" applyNumberFormat="1" applyFill="1" applyBorder="1" applyAlignment="1">
      <alignment horizontal="center"/>
    </xf>
    <xf numFmtId="2" fontId="0" fillId="17" borderId="4" xfId="0" applyNumberFormat="1" applyFill="1" applyBorder="1" applyAlignment="1">
      <alignment horizontal="center"/>
    </xf>
    <xf numFmtId="2" fontId="0" fillId="8" borderId="4" xfId="0" applyNumberFormat="1" applyFill="1" applyBorder="1" applyAlignment="1">
      <alignment horizontal="center"/>
    </xf>
    <xf numFmtId="16" fontId="0" fillId="0" borderId="37" xfId="0" applyNumberFormat="1" applyBorder="1"/>
    <xf numFmtId="0" fontId="15" fillId="0" borderId="0" xfId="0" applyFont="1"/>
    <xf numFmtId="0" fontId="6" fillId="0" borderId="4" xfId="0" applyFont="1" applyBorder="1" applyAlignment="1">
      <alignment horizontal="center"/>
    </xf>
    <xf numFmtId="0" fontId="16" fillId="0" borderId="0" xfId="0" applyFont="1"/>
    <xf numFmtId="0" fontId="16" fillId="0" borderId="4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6" fillId="0" borderId="4" xfId="0" applyFont="1" applyBorder="1"/>
    <xf numFmtId="0" fontId="16" fillId="0" borderId="34" xfId="0" applyFont="1" applyBorder="1"/>
    <xf numFmtId="2" fontId="16" fillId="0" borderId="4" xfId="0" applyNumberFormat="1" applyFont="1" applyBorder="1" applyAlignment="1">
      <alignment horizontal="center"/>
    </xf>
    <xf numFmtId="2" fontId="11" fillId="0" borderId="4" xfId="0" applyNumberFormat="1" applyFont="1" applyBorder="1" applyAlignment="1">
      <alignment horizontal="center"/>
    </xf>
    <xf numFmtId="10" fontId="0" fillId="0" borderId="0" xfId="0" applyNumberFormat="1" applyAlignment="1">
      <alignment horizontal="center"/>
    </xf>
    <xf numFmtId="2" fontId="16" fillId="8" borderId="4" xfId="0" applyNumberFormat="1" applyFont="1" applyFill="1" applyBorder="1" applyAlignment="1">
      <alignment horizontal="center"/>
    </xf>
    <xf numFmtId="2" fontId="17" fillId="8" borderId="4" xfId="0" applyNumberFormat="1" applyFont="1" applyFill="1" applyBorder="1" applyAlignment="1">
      <alignment horizontal="center"/>
    </xf>
    <xf numFmtId="2" fontId="6" fillId="8" borderId="4" xfId="0" applyNumberFormat="1" applyFont="1" applyFill="1" applyBorder="1" applyAlignment="1">
      <alignment horizontal="center"/>
    </xf>
    <xf numFmtId="1" fontId="8" fillId="0" borderId="5" xfId="0" applyNumberFormat="1" applyFont="1" applyBorder="1" applyAlignment="1">
      <alignment horizontal="center"/>
    </xf>
    <xf numFmtId="2" fontId="3" fillId="13" borderId="22" xfId="0" applyNumberFormat="1" applyFont="1" applyFill="1" applyBorder="1" applyAlignment="1">
      <alignment horizontal="center"/>
    </xf>
    <xf numFmtId="1" fontId="8" fillId="0" borderId="0" xfId="0" applyNumberFormat="1" applyFont="1" applyAlignment="1">
      <alignment horizontal="center"/>
    </xf>
    <xf numFmtId="0" fontId="16" fillId="0" borderId="24" xfId="0" applyFont="1" applyBorder="1"/>
    <xf numFmtId="0" fontId="16" fillId="0" borderId="34" xfId="0" applyFont="1" applyBorder="1" applyAlignment="1">
      <alignment horizontal="center"/>
    </xf>
    <xf numFmtId="0" fontId="16" fillId="0" borderId="29" xfId="0" applyFont="1" applyBorder="1"/>
    <xf numFmtId="0" fontId="4" fillId="0" borderId="4" xfId="0" applyFont="1" applyBorder="1" applyAlignment="1">
      <alignment horizontal="center"/>
    </xf>
    <xf numFmtId="0" fontId="5" fillId="7" borderId="3" xfId="0" applyFont="1" applyFill="1" applyBorder="1" applyAlignment="1">
      <alignment horizontal="center"/>
    </xf>
    <xf numFmtId="0" fontId="16" fillId="7" borderId="4" xfId="0" applyFont="1" applyFill="1" applyBorder="1" applyAlignment="1">
      <alignment horizontal="center"/>
    </xf>
    <xf numFmtId="10" fontId="0" fillId="0" borderId="0" xfId="0" applyNumberFormat="1"/>
    <xf numFmtId="17" fontId="18" fillId="0" borderId="0" xfId="0" applyNumberFormat="1" applyFont="1"/>
    <xf numFmtId="0" fontId="18" fillId="0" borderId="0" xfId="0" applyFont="1"/>
    <xf numFmtId="0" fontId="18" fillId="8" borderId="15" xfId="0" applyFont="1" applyFill="1" applyBorder="1"/>
    <xf numFmtId="0" fontId="18" fillId="8" borderId="17" xfId="0" applyFont="1" applyFill="1" applyBorder="1"/>
    <xf numFmtId="0" fontId="18" fillId="3" borderId="13" xfId="0" applyFont="1" applyFill="1" applyBorder="1"/>
    <xf numFmtId="0" fontId="18" fillId="3" borderId="16" xfId="0" applyFont="1" applyFill="1" applyBorder="1"/>
    <xf numFmtId="0" fontId="18" fillId="4" borderId="13" xfId="0" applyFont="1" applyFill="1" applyBorder="1"/>
    <xf numFmtId="0" fontId="18" fillId="5" borderId="18" xfId="0" applyFont="1" applyFill="1" applyBorder="1"/>
    <xf numFmtId="0" fontId="18" fillId="0" borderId="12" xfId="0" applyFont="1" applyBorder="1"/>
    <xf numFmtId="0" fontId="18" fillId="0" borderId="25" xfId="0" applyFont="1" applyBorder="1" applyAlignment="1">
      <alignment horizontal="center"/>
    </xf>
    <xf numFmtId="0" fontId="18" fillId="0" borderId="13" xfId="0" applyFont="1" applyBorder="1"/>
    <xf numFmtId="0" fontId="18" fillId="0" borderId="25" xfId="0" applyFont="1" applyBorder="1"/>
    <xf numFmtId="0" fontId="18" fillId="0" borderId="0" xfId="0" applyFont="1" applyAlignment="1">
      <alignment horizontal="center"/>
    </xf>
    <xf numFmtId="0" fontId="11" fillId="10" borderId="4" xfId="0" applyFont="1" applyFill="1" applyBorder="1" applyAlignment="1">
      <alignment horizontal="left"/>
    </xf>
    <xf numFmtId="164" fontId="11" fillId="10" borderId="4" xfId="0" applyNumberFormat="1" applyFont="1" applyFill="1" applyBorder="1" applyAlignment="1">
      <alignment horizontal="center"/>
    </xf>
    <xf numFmtId="0" fontId="11" fillId="10" borderId="4" xfId="0" applyFont="1" applyFill="1" applyBorder="1" applyAlignment="1">
      <alignment horizontal="center"/>
    </xf>
    <xf numFmtId="2" fontId="11" fillId="10" borderId="4" xfId="0" applyNumberFormat="1" applyFont="1" applyFill="1" applyBorder="1" applyAlignment="1">
      <alignment horizontal="center"/>
    </xf>
    <xf numFmtId="0" fontId="19" fillId="11" borderId="4" xfId="0" applyFont="1" applyFill="1" applyBorder="1" applyAlignment="1">
      <alignment horizontal="center"/>
    </xf>
    <xf numFmtId="16" fontId="19" fillId="11" borderId="4" xfId="0" applyNumberFormat="1" applyFont="1" applyFill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0" fontId="18" fillId="8" borderId="0" xfId="0" applyFont="1" applyFill="1" applyAlignment="1">
      <alignment horizontal="center"/>
    </xf>
    <xf numFmtId="0" fontId="18" fillId="8" borderId="39" xfId="0" applyFont="1" applyFill="1" applyBorder="1" applyAlignment="1">
      <alignment horizontal="center"/>
    </xf>
    <xf numFmtId="0" fontId="18" fillId="8" borderId="21" xfId="0" applyFont="1" applyFill="1" applyBorder="1" applyAlignment="1">
      <alignment horizontal="center"/>
    </xf>
    <xf numFmtId="0" fontId="18" fillId="3" borderId="13" xfId="0" applyFont="1" applyFill="1" applyBorder="1" applyAlignment="1">
      <alignment horizontal="center"/>
    </xf>
    <xf numFmtId="0" fontId="18" fillId="3" borderId="25" xfId="0" applyFont="1" applyFill="1" applyBorder="1" applyAlignment="1">
      <alignment horizontal="center"/>
    </xf>
    <xf numFmtId="0" fontId="18" fillId="3" borderId="3" xfId="0" applyFont="1" applyFill="1" applyBorder="1" applyAlignment="1">
      <alignment horizontal="center"/>
    </xf>
    <xf numFmtId="0" fontId="18" fillId="3" borderId="17" xfId="0" applyFont="1" applyFill="1" applyBorder="1" applyAlignment="1">
      <alignment horizontal="center"/>
    </xf>
    <xf numFmtId="0" fontId="18" fillId="4" borderId="14" xfId="0" applyFont="1" applyFill="1" applyBorder="1" applyAlignment="1">
      <alignment horizontal="center"/>
    </xf>
    <xf numFmtId="0" fontId="18" fillId="4" borderId="3" xfId="0" applyFont="1" applyFill="1" applyBorder="1" applyAlignment="1">
      <alignment horizontal="center"/>
    </xf>
    <xf numFmtId="0" fontId="18" fillId="4" borderId="15" xfId="0" applyFont="1" applyFill="1" applyBorder="1" applyAlignment="1">
      <alignment horizontal="center"/>
    </xf>
    <xf numFmtId="2" fontId="18" fillId="5" borderId="19" xfId="0" applyNumberFormat="1" applyFont="1" applyFill="1" applyBorder="1" applyAlignment="1">
      <alignment horizontal="center"/>
    </xf>
    <xf numFmtId="0" fontId="20" fillId="0" borderId="38" xfId="0" applyFont="1" applyBorder="1"/>
    <xf numFmtId="0" fontId="20" fillId="0" borderId="40" xfId="0" applyFont="1" applyBorder="1" applyAlignment="1">
      <alignment horizontal="center"/>
    </xf>
    <xf numFmtId="2" fontId="20" fillId="0" borderId="40" xfId="0" applyNumberFormat="1" applyFont="1" applyBorder="1" applyAlignment="1">
      <alignment horizontal="center"/>
    </xf>
    <xf numFmtId="16" fontId="18" fillId="0" borderId="41" xfId="0" applyNumberFormat="1" applyFont="1" applyBorder="1" applyAlignment="1">
      <alignment horizontal="center"/>
    </xf>
    <xf numFmtId="0" fontId="18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164" fontId="11" fillId="0" borderId="0" xfId="0" applyNumberFormat="1" applyFont="1" applyAlignment="1">
      <alignment horizontal="center"/>
    </xf>
    <xf numFmtId="17" fontId="21" fillId="0" borderId="0" xfId="0" applyNumberFormat="1" applyFont="1" applyAlignment="1">
      <alignment horizontal="center"/>
    </xf>
    <xf numFmtId="2" fontId="11" fillId="0" borderId="0" xfId="0" applyNumberFormat="1" applyFont="1" applyAlignment="1">
      <alignment horizontal="center"/>
    </xf>
    <xf numFmtId="0" fontId="19" fillId="11" borderId="0" xfId="0" applyFont="1" applyFill="1" applyAlignment="1">
      <alignment horizontal="center"/>
    </xf>
    <xf numFmtId="16" fontId="21" fillId="0" borderId="0" xfId="0" applyNumberFormat="1" applyFont="1" applyAlignment="1">
      <alignment horizontal="center"/>
    </xf>
    <xf numFmtId="14" fontId="18" fillId="0" borderId="18" xfId="0" applyNumberFormat="1" applyFont="1" applyBorder="1"/>
    <xf numFmtId="2" fontId="18" fillId="0" borderId="18" xfId="0" applyNumberFormat="1" applyFont="1" applyBorder="1" applyAlignment="1">
      <alignment horizontal="center"/>
    </xf>
    <xf numFmtId="0" fontId="18" fillId="0" borderId="40" xfId="0" applyFont="1" applyBorder="1" applyAlignment="1">
      <alignment horizontal="center"/>
    </xf>
    <xf numFmtId="0" fontId="18" fillId="0" borderId="41" xfId="0" applyFont="1" applyBorder="1" applyAlignment="1">
      <alignment horizontal="center"/>
    </xf>
    <xf numFmtId="2" fontId="18" fillId="8" borderId="46" xfId="0" applyNumberFormat="1" applyFont="1" applyFill="1" applyBorder="1" applyAlignment="1">
      <alignment horizontal="center"/>
    </xf>
    <xf numFmtId="2" fontId="18" fillId="0" borderId="38" xfId="0" applyNumberFormat="1" applyFont="1" applyBorder="1" applyAlignment="1">
      <alignment horizontal="center"/>
    </xf>
    <xf numFmtId="0" fontId="18" fillId="3" borderId="38" xfId="0" applyFont="1" applyFill="1" applyBorder="1" applyAlignment="1">
      <alignment horizontal="center"/>
    </xf>
    <xf numFmtId="0" fontId="18" fillId="3" borderId="41" xfId="0" applyFont="1" applyFill="1" applyBorder="1" applyAlignment="1">
      <alignment horizontal="center"/>
    </xf>
    <xf numFmtId="0" fontId="18" fillId="0" borderId="11" xfId="0" applyFont="1" applyBorder="1" applyAlignment="1">
      <alignment horizontal="center"/>
    </xf>
    <xf numFmtId="0" fontId="18" fillId="0" borderId="31" xfId="0" applyFont="1" applyBorder="1" applyAlignment="1">
      <alignment horizontal="center"/>
    </xf>
    <xf numFmtId="2" fontId="18" fillId="4" borderId="27" xfId="0" applyNumberFormat="1" applyFont="1" applyFill="1" applyBorder="1" applyAlignment="1">
      <alignment horizontal="center"/>
    </xf>
    <xf numFmtId="0" fontId="22" fillId="0" borderId="0" xfId="0" applyFont="1" applyAlignment="1">
      <alignment horizontal="center"/>
    </xf>
    <xf numFmtId="0" fontId="18" fillId="0" borderId="6" xfId="0" applyFont="1" applyBorder="1"/>
    <xf numFmtId="0" fontId="18" fillId="0" borderId="4" xfId="0" applyFont="1" applyBorder="1" applyAlignment="1">
      <alignment horizontal="center"/>
    </xf>
    <xf numFmtId="2" fontId="18" fillId="0" borderId="4" xfId="0" applyNumberFormat="1" applyFont="1" applyBorder="1"/>
    <xf numFmtId="14" fontId="18" fillId="0" borderId="7" xfId="0" applyNumberFormat="1" applyFont="1" applyBorder="1"/>
    <xf numFmtId="0" fontId="11" fillId="0" borderId="4" xfId="0" applyFont="1" applyBorder="1" applyAlignment="1">
      <alignment horizontal="center"/>
    </xf>
    <xf numFmtId="0" fontId="12" fillId="12" borderId="4" xfId="0" applyFont="1" applyFill="1" applyBorder="1" applyAlignment="1">
      <alignment horizontal="left"/>
    </xf>
    <xf numFmtId="164" fontId="12" fillId="12" borderId="4" xfId="0" applyNumberFormat="1" applyFont="1" applyFill="1" applyBorder="1" applyAlignment="1">
      <alignment horizontal="center"/>
    </xf>
    <xf numFmtId="0" fontId="12" fillId="12" borderId="4" xfId="0" applyFont="1" applyFill="1" applyBorder="1" applyAlignment="1">
      <alignment horizontal="center"/>
    </xf>
    <xf numFmtId="2" fontId="12" fillId="12" borderId="4" xfId="0" applyNumberFormat="1" applyFont="1" applyFill="1" applyBorder="1" applyAlignment="1">
      <alignment horizontal="center"/>
    </xf>
    <xf numFmtId="2" fontId="11" fillId="12" borderId="4" xfId="0" applyNumberFormat="1" applyFont="1" applyFill="1" applyBorder="1" applyAlignment="1">
      <alignment horizontal="center"/>
    </xf>
    <xf numFmtId="16" fontId="19" fillId="12" borderId="4" xfId="0" applyNumberFormat="1" applyFont="1" applyFill="1" applyBorder="1" applyAlignment="1">
      <alignment horizontal="center"/>
    </xf>
    <xf numFmtId="16" fontId="21" fillId="12" borderId="4" xfId="0" applyNumberFormat="1" applyFont="1" applyFill="1" applyBorder="1" applyAlignment="1">
      <alignment horizontal="center"/>
    </xf>
    <xf numFmtId="2" fontId="18" fillId="0" borderId="20" xfId="0" applyNumberFormat="1" applyFont="1" applyBorder="1" applyAlignment="1">
      <alignment horizontal="center"/>
    </xf>
    <xf numFmtId="0" fontId="18" fillId="0" borderId="5" xfId="0" applyFont="1" applyBorder="1" applyAlignment="1">
      <alignment horizontal="center"/>
    </xf>
    <xf numFmtId="0" fontId="18" fillId="3" borderId="11" xfId="0" applyFont="1" applyFill="1" applyBorder="1" applyAlignment="1">
      <alignment horizontal="center"/>
    </xf>
    <xf numFmtId="0" fontId="18" fillId="3" borderId="7" xfId="0" applyFont="1" applyFill="1" applyBorder="1" applyAlignment="1">
      <alignment horizontal="center"/>
    </xf>
    <xf numFmtId="0" fontId="18" fillId="0" borderId="7" xfId="0" applyFont="1" applyBorder="1" applyAlignment="1">
      <alignment horizontal="center"/>
    </xf>
    <xf numFmtId="2" fontId="18" fillId="4" borderId="28" xfId="0" applyNumberFormat="1" applyFont="1" applyFill="1" applyBorder="1" applyAlignment="1">
      <alignment horizontal="center"/>
    </xf>
    <xf numFmtId="0" fontId="20" fillId="0" borderId="0" xfId="0" applyFont="1" applyAlignment="1">
      <alignment horizontal="center"/>
    </xf>
    <xf numFmtId="0" fontId="12" fillId="0" borderId="6" xfId="0" applyFont="1" applyBorder="1"/>
    <xf numFmtId="2" fontId="20" fillId="0" borderId="4" xfId="0" applyNumberFormat="1" applyFont="1" applyBorder="1"/>
    <xf numFmtId="16" fontId="18" fillId="0" borderId="7" xfId="0" applyNumberFormat="1" applyFont="1" applyBorder="1"/>
    <xf numFmtId="0" fontId="11" fillId="0" borderId="4" xfId="0" applyFont="1" applyBorder="1" applyAlignment="1">
      <alignment horizontal="left"/>
    </xf>
    <xf numFmtId="164" fontId="11" fillId="0" borderId="4" xfId="0" applyNumberFormat="1" applyFont="1" applyBorder="1" applyAlignment="1">
      <alignment horizontal="center"/>
    </xf>
    <xf numFmtId="16" fontId="19" fillId="0" borderId="4" xfId="0" applyNumberFormat="1" applyFont="1" applyBorder="1" applyAlignment="1">
      <alignment horizontal="center"/>
    </xf>
    <xf numFmtId="16" fontId="21" fillId="0" borderId="4" xfId="0" applyNumberFormat="1" applyFont="1" applyBorder="1" applyAlignment="1">
      <alignment horizontal="center"/>
    </xf>
    <xf numFmtId="0" fontId="11" fillId="12" borderId="4" xfId="0" applyFont="1" applyFill="1" applyBorder="1" applyAlignment="1">
      <alignment horizontal="left"/>
    </xf>
    <xf numFmtId="164" fontId="11" fillId="12" borderId="4" xfId="0" applyNumberFormat="1" applyFont="1" applyFill="1" applyBorder="1" applyAlignment="1">
      <alignment horizontal="center"/>
    </xf>
    <xf numFmtId="0" fontId="11" fillId="12" borderId="4" xfId="0" applyFont="1" applyFill="1" applyBorder="1" applyAlignment="1">
      <alignment horizontal="center"/>
    </xf>
    <xf numFmtId="1" fontId="12" fillId="12" borderId="4" xfId="0" applyNumberFormat="1" applyFont="1" applyFill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20" fillId="0" borderId="11" xfId="0" applyFont="1" applyBorder="1" applyAlignment="1">
      <alignment horizontal="center"/>
    </xf>
    <xf numFmtId="2" fontId="12" fillId="0" borderId="4" xfId="0" applyNumberFormat="1" applyFont="1" applyBorder="1" applyAlignment="1">
      <alignment horizontal="center"/>
    </xf>
    <xf numFmtId="0" fontId="20" fillId="0" borderId="6" xfId="0" applyFont="1" applyBorder="1"/>
    <xf numFmtId="0" fontId="20" fillId="0" borderId="4" xfId="0" applyFont="1" applyBorder="1" applyAlignment="1">
      <alignment horizontal="center"/>
    </xf>
    <xf numFmtId="16" fontId="20" fillId="0" borderId="7" xfId="0" applyNumberFormat="1" applyFont="1" applyBorder="1"/>
    <xf numFmtId="2" fontId="18" fillId="0" borderId="11" xfId="0" applyNumberFormat="1" applyFont="1" applyBorder="1" applyAlignment="1">
      <alignment horizontal="center"/>
    </xf>
    <xf numFmtId="16" fontId="20" fillId="0" borderId="6" xfId="0" applyNumberFormat="1" applyFont="1" applyBorder="1"/>
    <xf numFmtId="16" fontId="11" fillId="0" borderId="4" xfId="0" applyNumberFormat="1" applyFont="1" applyBorder="1" applyAlignment="1">
      <alignment horizontal="center"/>
    </xf>
    <xf numFmtId="16" fontId="11" fillId="0" borderId="4" xfId="0" applyNumberFormat="1" applyFont="1" applyBorder="1" applyAlignment="1">
      <alignment horizontal="left"/>
    </xf>
    <xf numFmtId="16" fontId="18" fillId="0" borderId="6" xfId="0" applyNumberFormat="1" applyFont="1" applyBorder="1"/>
    <xf numFmtId="16" fontId="18" fillId="0" borderId="6" xfId="0" applyNumberFormat="1" applyFont="1" applyBorder="1" applyAlignment="1">
      <alignment horizontal="left"/>
    </xf>
    <xf numFmtId="0" fontId="20" fillId="0" borderId="7" xfId="0" applyFont="1" applyBorder="1" applyAlignment="1">
      <alignment horizontal="center"/>
    </xf>
    <xf numFmtId="1" fontId="11" fillId="0" borderId="4" xfId="0" applyNumberFormat="1" applyFont="1" applyBorder="1" applyAlignment="1">
      <alignment horizontal="center"/>
    </xf>
    <xf numFmtId="0" fontId="18" fillId="0" borderId="7" xfId="0" applyFont="1" applyBorder="1"/>
    <xf numFmtId="0" fontId="12" fillId="0" borderId="4" xfId="0" applyFont="1" applyBorder="1" applyAlignment="1">
      <alignment horizontal="left"/>
    </xf>
    <xf numFmtId="164" fontId="12" fillId="0" borderId="4" xfId="0" applyNumberFormat="1" applyFont="1" applyBorder="1" applyAlignment="1">
      <alignment horizontal="center"/>
    </xf>
    <xf numFmtId="17" fontId="12" fillId="0" borderId="4" xfId="0" applyNumberFormat="1" applyFont="1" applyBorder="1" applyAlignment="1">
      <alignment horizontal="center"/>
    </xf>
    <xf numFmtId="16" fontId="12" fillId="0" borderId="4" xfId="0" applyNumberFormat="1" applyFont="1" applyBorder="1" applyAlignment="1">
      <alignment horizontal="center"/>
    </xf>
    <xf numFmtId="2" fontId="11" fillId="0" borderId="4" xfId="0" applyNumberFormat="1" applyFont="1" applyBorder="1" applyAlignment="1">
      <alignment horizontal="left"/>
    </xf>
    <xf numFmtId="1" fontId="12" fillId="0" borderId="4" xfId="0" applyNumberFormat="1" applyFont="1" applyBorder="1" applyAlignment="1">
      <alignment horizontal="center"/>
    </xf>
    <xf numFmtId="2" fontId="18" fillId="0" borderId="35" xfId="0" applyNumberFormat="1" applyFont="1" applyBorder="1" applyAlignment="1">
      <alignment horizontal="center"/>
    </xf>
    <xf numFmtId="0" fontId="18" fillId="0" borderId="4" xfId="0" applyFont="1" applyBorder="1"/>
    <xf numFmtId="2" fontId="12" fillId="18" borderId="4" xfId="0" applyNumberFormat="1" applyFont="1" applyFill="1" applyBorder="1" applyAlignment="1">
      <alignment horizontal="center"/>
    </xf>
    <xf numFmtId="0" fontId="11" fillId="0" borderId="0" xfId="0" applyFont="1" applyAlignment="1">
      <alignment horizontal="center" vertical="center"/>
    </xf>
    <xf numFmtId="16" fontId="19" fillId="0" borderId="0" xfId="0" applyNumberFormat="1" applyFont="1" applyAlignment="1">
      <alignment horizontal="center"/>
    </xf>
    <xf numFmtId="2" fontId="18" fillId="0" borderId="36" xfId="0" applyNumberFormat="1" applyFont="1" applyBorder="1" applyAlignment="1">
      <alignment horizontal="center"/>
    </xf>
    <xf numFmtId="0" fontId="22" fillId="0" borderId="4" xfId="0" applyFont="1" applyBorder="1" applyAlignment="1">
      <alignment horizontal="center"/>
    </xf>
    <xf numFmtId="0" fontId="18" fillId="0" borderId="34" xfId="0" applyFont="1" applyBorder="1" applyAlignment="1">
      <alignment horizontal="center"/>
    </xf>
    <xf numFmtId="2" fontId="18" fillId="0" borderId="31" xfId="0" applyNumberFormat="1" applyFont="1" applyBorder="1" applyAlignment="1">
      <alignment horizontal="center"/>
    </xf>
    <xf numFmtId="2" fontId="18" fillId="4" borderId="29" xfId="0" applyNumberFormat="1" applyFont="1" applyFill="1" applyBorder="1" applyAlignment="1">
      <alignment horizontal="center"/>
    </xf>
    <xf numFmtId="0" fontId="18" fillId="5" borderId="12" xfId="0" applyFont="1" applyFill="1" applyBorder="1" applyAlignment="1">
      <alignment horizontal="center"/>
    </xf>
    <xf numFmtId="2" fontId="20" fillId="0" borderId="11" xfId="0" applyNumberFormat="1" applyFont="1" applyBorder="1" applyAlignment="1">
      <alignment horizontal="center"/>
    </xf>
    <xf numFmtId="0" fontId="18" fillId="5" borderId="20" xfId="0" applyFont="1" applyFill="1" applyBorder="1" applyAlignment="1">
      <alignment horizontal="center"/>
    </xf>
    <xf numFmtId="0" fontId="18" fillId="0" borderId="6" xfId="0" applyFont="1" applyBorder="1" applyAlignment="1">
      <alignment horizontal="right"/>
    </xf>
    <xf numFmtId="0" fontId="11" fillId="13" borderId="4" xfId="0" applyFont="1" applyFill="1" applyBorder="1" applyAlignment="1">
      <alignment horizontal="center"/>
    </xf>
    <xf numFmtId="2" fontId="12" fillId="0" borderId="0" xfId="0" applyNumberFormat="1" applyFont="1" applyAlignment="1">
      <alignment horizontal="center"/>
    </xf>
    <xf numFmtId="2" fontId="18" fillId="0" borderId="21" xfId="0" applyNumberFormat="1" applyFont="1" applyBorder="1" applyAlignment="1">
      <alignment horizontal="center"/>
    </xf>
    <xf numFmtId="0" fontId="18" fillId="0" borderId="9" xfId="0" applyFont="1" applyBorder="1" applyAlignment="1">
      <alignment horizontal="center"/>
    </xf>
    <xf numFmtId="0" fontId="18" fillId="0" borderId="42" xfId="0" applyFont="1" applyBorder="1" applyAlignment="1">
      <alignment horizontal="center"/>
    </xf>
    <xf numFmtId="0" fontId="18" fillId="0" borderId="44" xfId="0" applyFont="1" applyBorder="1" applyAlignment="1">
      <alignment horizontal="center"/>
    </xf>
    <xf numFmtId="0" fontId="18" fillId="3" borderId="32" xfId="0" applyFont="1" applyFill="1" applyBorder="1" applyAlignment="1">
      <alignment horizontal="center"/>
    </xf>
    <xf numFmtId="0" fontId="18" fillId="3" borderId="10" xfId="0" applyFont="1" applyFill="1" applyBorder="1" applyAlignment="1">
      <alignment horizontal="center"/>
    </xf>
    <xf numFmtId="0" fontId="20" fillId="0" borderId="32" xfId="0" applyFont="1" applyBorder="1" applyAlignment="1">
      <alignment horizontal="center"/>
    </xf>
    <xf numFmtId="0" fontId="18" fillId="0" borderId="10" xfId="0" applyFont="1" applyBorder="1" applyAlignment="1">
      <alignment horizontal="center"/>
    </xf>
    <xf numFmtId="2" fontId="18" fillId="4" borderId="30" xfId="0" applyNumberFormat="1" applyFont="1" applyFill="1" applyBorder="1" applyAlignment="1">
      <alignment horizontal="center"/>
    </xf>
    <xf numFmtId="0" fontId="18" fillId="5" borderId="21" xfId="0" applyFont="1" applyFill="1" applyBorder="1" applyAlignment="1">
      <alignment horizontal="center"/>
    </xf>
    <xf numFmtId="0" fontId="18" fillId="0" borderId="8" xfId="0" applyFont="1" applyBorder="1"/>
    <xf numFmtId="0" fontId="18" fillId="0" borderId="9" xfId="0" applyFont="1" applyBorder="1"/>
    <xf numFmtId="0" fontId="18" fillId="0" borderId="10" xfId="0" applyFont="1" applyBorder="1"/>
    <xf numFmtId="2" fontId="12" fillId="13" borderId="4" xfId="0" applyNumberFormat="1" applyFont="1" applyFill="1" applyBorder="1" applyAlignment="1">
      <alignment horizontal="center"/>
    </xf>
    <xf numFmtId="2" fontId="18" fillId="0" borderId="5" xfId="0" applyNumberFormat="1" applyFont="1" applyBorder="1" applyAlignment="1">
      <alignment horizontal="center"/>
    </xf>
    <xf numFmtId="0" fontId="18" fillId="0" borderId="26" xfId="0" applyFont="1" applyBorder="1" applyAlignment="1">
      <alignment horizontal="center"/>
    </xf>
    <xf numFmtId="0" fontId="18" fillId="0" borderId="23" xfId="0" applyFont="1" applyBorder="1" applyAlignment="1">
      <alignment horizontal="center"/>
    </xf>
    <xf numFmtId="0" fontId="18" fillId="8" borderId="33" xfId="0" applyFont="1" applyFill="1" applyBorder="1" applyAlignment="1">
      <alignment horizontal="center"/>
    </xf>
    <xf numFmtId="0" fontId="18" fillId="0" borderId="43" xfId="0" applyFont="1" applyBorder="1" applyAlignment="1">
      <alignment horizontal="center"/>
    </xf>
    <xf numFmtId="0" fontId="18" fillId="3" borderId="43" xfId="0" applyFont="1" applyFill="1" applyBorder="1" applyAlignment="1">
      <alignment horizontal="center"/>
    </xf>
    <xf numFmtId="0" fontId="18" fillId="3" borderId="45" xfId="0" applyFont="1" applyFill="1" applyBorder="1" applyAlignment="1">
      <alignment horizontal="center"/>
    </xf>
    <xf numFmtId="0" fontId="18" fillId="19" borderId="26" xfId="0" applyFont="1" applyFill="1" applyBorder="1" applyAlignment="1">
      <alignment horizontal="center"/>
    </xf>
    <xf numFmtId="0" fontId="18" fillId="19" borderId="23" xfId="0" applyFont="1" applyFill="1" applyBorder="1" applyAlignment="1">
      <alignment horizontal="center"/>
    </xf>
    <xf numFmtId="16" fontId="11" fillId="12" borderId="4" xfId="0" applyNumberFormat="1" applyFont="1" applyFill="1" applyBorder="1" applyAlignment="1">
      <alignment horizontal="left"/>
    </xf>
    <xf numFmtId="0" fontId="18" fillId="6" borderId="4" xfId="0" applyFont="1" applyFill="1" applyBorder="1"/>
    <xf numFmtId="2" fontId="18" fillId="6" borderId="4" xfId="0" applyNumberFormat="1" applyFont="1" applyFill="1" applyBorder="1" applyAlignment="1">
      <alignment horizontal="center"/>
    </xf>
    <xf numFmtId="0" fontId="18" fillId="2" borderId="3" xfId="0" applyFont="1" applyFill="1" applyBorder="1" applyAlignment="1">
      <alignment horizontal="center"/>
    </xf>
    <xf numFmtId="0" fontId="18" fillId="19" borderId="4" xfId="0" applyFont="1" applyFill="1" applyBorder="1" applyAlignment="1">
      <alignment horizontal="center"/>
    </xf>
    <xf numFmtId="0" fontId="18" fillId="19" borderId="14" xfId="0" applyFont="1" applyFill="1" applyBorder="1" applyAlignment="1">
      <alignment horizontal="center"/>
    </xf>
    <xf numFmtId="0" fontId="18" fillId="19" borderId="17" xfId="0" applyFont="1" applyFill="1" applyBorder="1" applyAlignment="1">
      <alignment horizontal="center"/>
    </xf>
    <xf numFmtId="0" fontId="18" fillId="19" borderId="3" xfId="0" applyFont="1" applyFill="1" applyBorder="1" applyAlignment="1">
      <alignment horizontal="center"/>
    </xf>
    <xf numFmtId="0" fontId="18" fillId="6" borderId="4" xfId="0" applyFont="1" applyFill="1" applyBorder="1" applyAlignment="1">
      <alignment horizontal="center"/>
    </xf>
    <xf numFmtId="2" fontId="11" fillId="13" borderId="4" xfId="0" applyNumberFormat="1" applyFont="1" applyFill="1" applyBorder="1" applyAlignment="1">
      <alignment horizontal="center"/>
    </xf>
    <xf numFmtId="16" fontId="11" fillId="12" borderId="4" xfId="0" applyNumberFormat="1" applyFont="1" applyFill="1" applyBorder="1" applyAlignment="1">
      <alignment horizontal="center"/>
    </xf>
    <xf numFmtId="0" fontId="23" fillId="0" borderId="0" xfId="0" applyFont="1"/>
    <xf numFmtId="16" fontId="18" fillId="0" borderId="0" xfId="0" applyNumberFormat="1" applyFont="1" applyAlignment="1">
      <alignment horizontal="center"/>
    </xf>
    <xf numFmtId="2" fontId="18" fillId="0" borderId="0" xfId="0" applyNumberFormat="1" applyFont="1" applyAlignment="1">
      <alignment horizontal="center"/>
    </xf>
    <xf numFmtId="0" fontId="19" fillId="0" borderId="4" xfId="0" applyFont="1" applyBorder="1" applyAlignment="1">
      <alignment horizontal="center"/>
    </xf>
    <xf numFmtId="0" fontId="11" fillId="0" borderId="22" xfId="0" applyFont="1" applyBorder="1" applyAlignment="1">
      <alignment horizontal="center"/>
    </xf>
    <xf numFmtId="0" fontId="19" fillId="0" borderId="22" xfId="0" applyFont="1" applyBorder="1" applyAlignment="1">
      <alignment horizontal="center"/>
    </xf>
    <xf numFmtId="16" fontId="21" fillId="0" borderId="22" xfId="0" applyNumberFormat="1" applyFont="1" applyBorder="1" applyAlignment="1">
      <alignment horizontal="center"/>
    </xf>
    <xf numFmtId="2" fontId="11" fillId="0" borderId="22" xfId="0" applyNumberFormat="1" applyFont="1" applyBorder="1" applyAlignment="1">
      <alignment horizontal="center"/>
    </xf>
    <xf numFmtId="2" fontId="11" fillId="0" borderId="24" xfId="0" applyNumberFormat="1" applyFont="1" applyBorder="1" applyAlignment="1">
      <alignment horizontal="center"/>
    </xf>
    <xf numFmtId="0" fontId="11" fillId="0" borderId="24" xfId="0" applyFont="1" applyBorder="1" applyAlignment="1">
      <alignment horizontal="center"/>
    </xf>
    <xf numFmtId="0" fontId="19" fillId="0" borderId="29" xfId="0" applyFont="1" applyBorder="1" applyAlignment="1">
      <alignment horizontal="center"/>
    </xf>
    <xf numFmtId="16" fontId="21" fillId="0" borderId="34" xfId="0" applyNumberFormat="1" applyFont="1" applyBorder="1" applyAlignment="1">
      <alignment horizontal="center"/>
    </xf>
    <xf numFmtId="2" fontId="11" fillId="9" borderId="4" xfId="0" applyNumberFormat="1" applyFont="1" applyFill="1" applyBorder="1" applyAlignment="1">
      <alignment horizontal="center"/>
    </xf>
    <xf numFmtId="0" fontId="12" fillId="0" borderId="0" xfId="0" applyFont="1" applyAlignment="1">
      <alignment horizontal="left"/>
    </xf>
    <xf numFmtId="164" fontId="12" fillId="0" borderId="0" xfId="0" applyNumberFormat="1" applyFont="1" applyAlignment="1">
      <alignment horizontal="center"/>
    </xf>
    <xf numFmtId="1" fontId="12" fillId="0" borderId="0" xfId="0" applyNumberFormat="1" applyFont="1" applyAlignment="1">
      <alignment horizontal="center"/>
    </xf>
    <xf numFmtId="2" fontId="11" fillId="14" borderId="4" xfId="0" applyNumberFormat="1" applyFont="1" applyFill="1" applyBorder="1" applyAlignment="1">
      <alignment horizontal="center"/>
    </xf>
    <xf numFmtId="2" fontId="12" fillId="14" borderId="4" xfId="0" applyNumberFormat="1" applyFont="1" applyFill="1" applyBorder="1" applyAlignment="1">
      <alignment horizontal="center"/>
    </xf>
    <xf numFmtId="0" fontId="19" fillId="0" borderId="0" xfId="0" applyFont="1" applyAlignment="1">
      <alignment horizontal="center"/>
    </xf>
    <xf numFmtId="16" fontId="19" fillId="0" borderId="24" xfId="0" applyNumberFormat="1" applyFont="1" applyBorder="1" applyAlignment="1">
      <alignment horizontal="center"/>
    </xf>
    <xf numFmtId="2" fontId="11" fillId="7" borderId="4" xfId="0" applyNumberFormat="1" applyFont="1" applyFill="1" applyBorder="1" applyAlignment="1">
      <alignment horizontal="center"/>
    </xf>
    <xf numFmtId="2" fontId="11" fillId="15" borderId="4" xfId="0" applyNumberFormat="1" applyFont="1" applyFill="1" applyBorder="1" applyAlignment="1">
      <alignment horizontal="center"/>
    </xf>
    <xf numFmtId="2" fontId="11" fillId="0" borderId="0" xfId="0" applyNumberFormat="1" applyFont="1"/>
    <xf numFmtId="0" fontId="11" fillId="0" borderId="0" xfId="0" applyFont="1"/>
    <xf numFmtId="0" fontId="11" fillId="0" borderId="14" xfId="0" applyFont="1" applyBorder="1" applyAlignment="1">
      <alignment horizontal="center"/>
    </xf>
    <xf numFmtId="16" fontId="11" fillId="0" borderId="17" xfId="0" applyNumberFormat="1" applyFont="1" applyBorder="1" applyAlignment="1">
      <alignment horizontal="center"/>
    </xf>
    <xf numFmtId="1" fontId="11" fillId="0" borderId="5" xfId="0" applyNumberFormat="1" applyFont="1" applyBorder="1" applyAlignment="1">
      <alignment horizontal="center"/>
    </xf>
    <xf numFmtId="2" fontId="21" fillId="0" borderId="0" xfId="0" applyNumberFormat="1" applyFont="1" applyAlignment="1">
      <alignment horizontal="center"/>
    </xf>
    <xf numFmtId="2" fontId="12" fillId="13" borderId="22" xfId="0" applyNumberFormat="1" applyFont="1" applyFill="1" applyBorder="1" applyAlignment="1">
      <alignment horizontal="center"/>
    </xf>
    <xf numFmtId="16" fontId="11" fillId="0" borderId="0" xfId="0" applyNumberFormat="1" applyFont="1"/>
    <xf numFmtId="2" fontId="8" fillId="13" borderId="24" xfId="0" applyNumberFormat="1" applyFont="1" applyFill="1" applyBorder="1" applyAlignment="1">
      <alignment horizontal="center"/>
    </xf>
    <xf numFmtId="0" fontId="12" fillId="0" borderId="4" xfId="0" applyFont="1" applyFill="1" applyBorder="1" applyAlignment="1">
      <alignment horizontal="left"/>
    </xf>
    <xf numFmtId="164" fontId="12" fillId="0" borderId="4" xfId="0" applyNumberFormat="1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2" fontId="12" fillId="0" borderId="4" xfId="0" applyNumberFormat="1" applyFont="1" applyFill="1" applyBorder="1" applyAlignment="1">
      <alignment horizontal="center"/>
    </xf>
    <xf numFmtId="2" fontId="11" fillId="0" borderId="4" xfId="0" applyNumberFormat="1" applyFont="1" applyFill="1" applyBorder="1" applyAlignment="1">
      <alignment horizontal="center"/>
    </xf>
    <xf numFmtId="16" fontId="19" fillId="0" borderId="4" xfId="0" applyNumberFormat="1" applyFont="1" applyFill="1" applyBorder="1" applyAlignment="1">
      <alignment horizontal="center"/>
    </xf>
    <xf numFmtId="16" fontId="21" fillId="0" borderId="4" xfId="0" applyNumberFormat="1" applyFont="1" applyFill="1" applyBorder="1" applyAlignment="1">
      <alignment horizontal="center"/>
    </xf>
    <xf numFmtId="0" fontId="11" fillId="0" borderId="4" xfId="0" applyFont="1" applyFill="1" applyBorder="1" applyAlignment="1">
      <alignment horizontal="left"/>
    </xf>
    <xf numFmtId="164" fontId="11" fillId="0" borderId="4" xfId="0" applyNumberFormat="1" applyFont="1" applyFill="1" applyBorder="1" applyAlignment="1">
      <alignment horizontal="center"/>
    </xf>
    <xf numFmtId="0" fontId="11" fillId="0" borderId="4" xfId="0" applyFont="1" applyFill="1" applyBorder="1" applyAlignment="1">
      <alignment horizontal="center"/>
    </xf>
    <xf numFmtId="1" fontId="12" fillId="0" borderId="4" xfId="0" applyNumberFormat="1" applyFont="1" applyFill="1" applyBorder="1" applyAlignment="1">
      <alignment horizontal="center"/>
    </xf>
    <xf numFmtId="16" fontId="11" fillId="0" borderId="4" xfId="0" applyNumberFormat="1" applyFont="1" applyFill="1" applyBorder="1" applyAlignment="1">
      <alignment horizontal="left"/>
    </xf>
    <xf numFmtId="1" fontId="11" fillId="0" borderId="4" xfId="0" applyNumberFormat="1" applyFont="1" applyFill="1" applyBorder="1" applyAlignment="1">
      <alignment horizontal="center"/>
    </xf>
    <xf numFmtId="16" fontId="11" fillId="0" borderId="4" xfId="0" applyNumberFormat="1" applyFont="1" applyFill="1" applyBorder="1" applyAlignment="1">
      <alignment horizontal="center"/>
    </xf>
    <xf numFmtId="0" fontId="18" fillId="0" borderId="0" xfId="0" applyFont="1" applyBorder="1" applyAlignment="1">
      <alignment horizontal="center"/>
    </xf>
    <xf numFmtId="2" fontId="18" fillId="0" borderId="0" xfId="0" applyNumberFormat="1" applyFont="1" applyBorder="1" applyAlignment="1">
      <alignment horizontal="center"/>
    </xf>
    <xf numFmtId="0" fontId="20" fillId="0" borderId="0" xfId="0" applyFont="1" applyBorder="1" applyAlignment="1">
      <alignment horizontal="center"/>
    </xf>
    <xf numFmtId="2" fontId="20" fillId="0" borderId="0" xfId="0" applyNumberFormat="1" applyFont="1" applyBorder="1" applyAlignment="1">
      <alignment horizontal="center"/>
    </xf>
    <xf numFmtId="0" fontId="18" fillId="0" borderId="0" xfId="0" applyFont="1" applyFill="1" applyBorder="1" applyAlignment="1">
      <alignment horizontal="center"/>
    </xf>
    <xf numFmtId="2" fontId="18" fillId="0" borderId="0" xfId="0" applyNumberFormat="1" applyFont="1" applyFill="1" applyBorder="1" applyAlignment="1">
      <alignment horizontal="center"/>
    </xf>
    <xf numFmtId="0" fontId="20" fillId="0" borderId="0" xfId="0" applyFont="1" applyFill="1" applyBorder="1" applyAlignment="1">
      <alignment horizontal="center"/>
    </xf>
    <xf numFmtId="2" fontId="20" fillId="0" borderId="0" xfId="0" applyNumberFormat="1" applyFont="1" applyFill="1" applyBorder="1" applyAlignment="1">
      <alignment horizontal="center"/>
    </xf>
    <xf numFmtId="2" fontId="0" fillId="0" borderId="0" xfId="0" applyNumberFormat="1"/>
    <xf numFmtId="2" fontId="15" fillId="0" borderId="13" xfId="0" applyNumberFormat="1" applyFont="1" applyBorder="1"/>
    <xf numFmtId="2" fontId="15" fillId="0" borderId="4" xfId="0" applyNumberFormat="1" applyFont="1" applyBorder="1" applyAlignment="1">
      <alignment horizontal="center"/>
    </xf>
    <xf numFmtId="2" fontId="15" fillId="0" borderId="29" xfId="0" applyNumberFormat="1" applyFont="1" applyBorder="1" applyAlignment="1">
      <alignment horizontal="center"/>
    </xf>
    <xf numFmtId="2" fontId="15" fillId="0" borderId="34" xfId="0" applyNumberFormat="1" applyFont="1" applyBorder="1" applyAlignment="1">
      <alignment horizontal="center"/>
    </xf>
    <xf numFmtId="2" fontId="15" fillId="17" borderId="5" xfId="0" applyNumberFormat="1" applyFont="1" applyFill="1" applyBorder="1" applyAlignment="1">
      <alignment horizontal="center"/>
    </xf>
    <xf numFmtId="2" fontId="15" fillId="0" borderId="37" xfId="0" applyNumberFormat="1" applyFont="1" applyBorder="1"/>
    <xf numFmtId="2" fontId="0" fillId="0" borderId="13" xfId="0" applyNumberFormat="1" applyBorder="1"/>
    <xf numFmtId="2" fontId="0" fillId="0" borderId="37" xfId="0" applyNumberFormat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Users/User/OneDrive/Bureau/SPUNTINO/CAISSE/CAISSE%202026/FOURNISSEURS%20PAYEMENT%202026.xlsx" TargetMode="External"/><Relationship Id="rId1" Type="http://schemas.openxmlformats.org/officeDocument/2006/relationships/externalLinkPath" Target="/Users/User/OneDrive/Bureau/SPUNTINO/CAISSE/CAISSE%202026/FOURNISSEURS%20PAYEMENT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ecembre 2026"/>
      <sheetName val="novembre 2026"/>
      <sheetName val="ovtobre 2026"/>
      <sheetName val="septembre 2026"/>
      <sheetName val="aout 2026"/>
      <sheetName val="juillet 2026"/>
      <sheetName val="inventaire 31-03"/>
      <sheetName val="MARGE 26"/>
      <sheetName val="TVA ONSS"/>
      <sheetName val="juin 2026"/>
      <sheetName val="mai 2026"/>
      <sheetName val="avril 2026"/>
      <sheetName val="MARS 2026"/>
      <sheetName val="fevrier 2026"/>
      <sheetName val="janvier 2026"/>
      <sheetName val="MARGE 25"/>
      <sheetName val="MARGE 24"/>
      <sheetName val="MARGE 23"/>
      <sheetName val="MARGE2022"/>
      <sheetName val="Feuil1 (2)"/>
      <sheetName val="Feuil1"/>
    </sheetNames>
    <sheetDataSet>
      <sheetData sheetId="0">
        <row r="68">
          <cell r="G68">
            <v>0</v>
          </cell>
        </row>
      </sheetData>
      <sheetData sheetId="1">
        <row r="68">
          <cell r="G68">
            <v>0</v>
          </cell>
        </row>
      </sheetData>
      <sheetData sheetId="2">
        <row r="68">
          <cell r="G68">
            <v>0</v>
          </cell>
        </row>
      </sheetData>
      <sheetData sheetId="3">
        <row r="68">
          <cell r="G68">
            <v>0</v>
          </cell>
        </row>
      </sheetData>
      <sheetData sheetId="4">
        <row r="68">
          <cell r="G68">
            <v>0</v>
          </cell>
        </row>
      </sheetData>
      <sheetData sheetId="5">
        <row r="68">
          <cell r="G68">
            <v>0</v>
          </cell>
        </row>
      </sheetData>
      <sheetData sheetId="6" refreshError="1"/>
      <sheetData sheetId="7" refreshError="1"/>
      <sheetData sheetId="8" refreshError="1"/>
      <sheetData sheetId="9">
        <row r="68">
          <cell r="G68">
            <v>1691.8200000000002</v>
          </cell>
        </row>
      </sheetData>
      <sheetData sheetId="10">
        <row r="68">
          <cell r="G68">
            <v>2245.0900000000006</v>
          </cell>
        </row>
      </sheetData>
      <sheetData sheetId="11">
        <row r="68">
          <cell r="G68">
            <v>2485.1800000000003</v>
          </cell>
        </row>
      </sheetData>
      <sheetData sheetId="12">
        <row r="68">
          <cell r="G68">
            <v>3011.0199999999995</v>
          </cell>
        </row>
      </sheetData>
      <sheetData sheetId="13">
        <row r="68">
          <cell r="G68">
            <v>2229.1800000000003</v>
          </cell>
        </row>
      </sheetData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Bureau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805EC-783C-4AC3-87EC-7C45A0B2D662}">
  <sheetPr published="0">
    <pageSetUpPr fitToPage="1"/>
  </sheetPr>
  <dimension ref="A1:BE117"/>
  <sheetViews>
    <sheetView tabSelected="1" topLeftCell="L9" zoomScale="70" zoomScaleNormal="70" zoomScalePageLayoutView="85" workbookViewId="0">
      <selection activeCell="V30" sqref="V30"/>
    </sheetView>
  </sheetViews>
  <sheetFormatPr baseColWidth="10" defaultColWidth="11" defaultRowHeight="12.75" x14ac:dyDescent="0.2"/>
  <cols>
    <col min="1" max="1" width="11.25" bestFit="1" customWidth="1"/>
    <col min="2" max="2" width="9.75" customWidth="1"/>
    <col min="3" max="3" width="11.375" customWidth="1"/>
    <col min="4" max="4" width="8.25" customWidth="1"/>
    <col min="5" max="5" width="9.375" customWidth="1"/>
    <col min="6" max="6" width="11.25" customWidth="1"/>
    <col min="7" max="7" width="10.375" customWidth="1"/>
    <col min="8" max="8" width="9.375" customWidth="1"/>
    <col min="9" max="9" width="6.375" customWidth="1"/>
    <col min="10" max="10" width="8.375" customWidth="1"/>
    <col min="11" max="11" width="8.625" customWidth="1"/>
    <col min="12" max="12" width="7" customWidth="1"/>
    <col min="13" max="13" width="8.875" customWidth="1"/>
    <col min="14" max="14" width="8.25" customWidth="1"/>
    <col min="15" max="15" width="10.25" bestFit="1" customWidth="1"/>
    <col min="16" max="16" width="17.25" bestFit="1" customWidth="1"/>
    <col min="17" max="17" width="39.125" customWidth="1"/>
    <col min="18" max="18" width="11" style="2"/>
    <col min="19" max="19" width="8" customWidth="1"/>
    <col min="20" max="20" width="12.375" customWidth="1"/>
    <col min="21" max="21" width="2.625" customWidth="1"/>
    <col min="22" max="22" width="33.75" customWidth="1"/>
    <col min="23" max="23" width="9.375" style="2" customWidth="1"/>
    <col min="24" max="24" width="9.25" customWidth="1"/>
    <col min="25" max="25" width="15" bestFit="1" customWidth="1"/>
    <col min="26" max="26" width="10.375" customWidth="1"/>
    <col min="27" max="27" width="14.5" bestFit="1" customWidth="1"/>
    <col min="28" max="28" width="11.375" customWidth="1"/>
    <col min="29" max="29" width="11.25" bestFit="1" customWidth="1"/>
    <col min="30" max="30" width="8.75" customWidth="1"/>
    <col min="31" max="31" width="12.875" customWidth="1"/>
    <col min="32" max="32" width="13.875" bestFit="1" customWidth="1"/>
    <col min="33" max="33" width="12.375" customWidth="1"/>
    <col min="34" max="34" width="9.25" customWidth="1"/>
    <col min="35" max="35" width="16.75" bestFit="1" customWidth="1"/>
    <col min="36" max="36" width="9.5" bestFit="1" customWidth="1"/>
    <col min="37" max="37" width="9.875" customWidth="1"/>
    <col min="38" max="38" width="10.75" customWidth="1"/>
  </cols>
  <sheetData>
    <row r="1" spans="1:57" ht="19.5" thickBot="1" x14ac:dyDescent="0.35">
      <c r="A1" s="123">
        <v>44895</v>
      </c>
      <c r="B1" s="124"/>
      <c r="C1" s="125" t="s">
        <v>22</v>
      </c>
      <c r="D1" s="125"/>
      <c r="E1" s="125"/>
      <c r="F1" s="126"/>
      <c r="G1" s="127" t="s">
        <v>23</v>
      </c>
      <c r="H1" s="127"/>
      <c r="I1" s="127"/>
      <c r="J1" s="127"/>
      <c r="K1" s="127"/>
      <c r="L1" s="128"/>
      <c r="M1" s="129" t="s">
        <v>6</v>
      </c>
      <c r="N1" s="129"/>
      <c r="O1" s="129"/>
      <c r="P1" s="130" t="s">
        <v>19</v>
      </c>
      <c r="Q1" s="131" t="s">
        <v>11</v>
      </c>
      <c r="R1" s="132" t="s">
        <v>12</v>
      </c>
      <c r="S1" s="133" t="s">
        <v>0</v>
      </c>
      <c r="T1" s="134" t="s">
        <v>13</v>
      </c>
      <c r="U1" s="124"/>
      <c r="V1" s="124"/>
      <c r="W1" s="135"/>
      <c r="X1" s="24"/>
      <c r="Y1" s="136" t="s">
        <v>25</v>
      </c>
      <c r="Z1" s="137" t="s">
        <v>5</v>
      </c>
      <c r="AA1" s="138" t="s">
        <v>26</v>
      </c>
      <c r="AB1" s="138" t="s">
        <v>27</v>
      </c>
      <c r="AC1" s="139" t="s">
        <v>15</v>
      </c>
      <c r="AD1" s="139" t="s">
        <v>16</v>
      </c>
      <c r="AE1" s="139" t="s">
        <v>12</v>
      </c>
      <c r="AF1" s="138" t="s">
        <v>28</v>
      </c>
      <c r="AG1" s="138" t="s">
        <v>29</v>
      </c>
      <c r="AH1" s="140" t="s">
        <v>5</v>
      </c>
      <c r="AI1" s="141" t="s">
        <v>30</v>
      </c>
      <c r="AJ1" s="24"/>
      <c r="AK1" s="301"/>
      <c r="AL1" s="24"/>
      <c r="AM1" s="302"/>
      <c r="AN1" s="16"/>
    </row>
    <row r="2" spans="1:57" s="2" customFormat="1" ht="19.5" thickBot="1" x14ac:dyDescent="0.35">
      <c r="A2" s="142" t="s">
        <v>5</v>
      </c>
      <c r="B2" s="143" t="s">
        <v>20</v>
      </c>
      <c r="C2" s="144">
        <v>6</v>
      </c>
      <c r="D2" s="145">
        <v>12</v>
      </c>
      <c r="E2" s="144">
        <v>21</v>
      </c>
      <c r="F2" s="146" t="s">
        <v>0</v>
      </c>
      <c r="G2" s="147" t="s">
        <v>24</v>
      </c>
      <c r="H2" s="148" t="s">
        <v>1</v>
      </c>
      <c r="I2" s="147" t="s">
        <v>21</v>
      </c>
      <c r="J2" s="147" t="s">
        <v>81</v>
      </c>
      <c r="K2" s="149" t="s">
        <v>2</v>
      </c>
      <c r="L2" s="150" t="s">
        <v>8</v>
      </c>
      <c r="M2" s="151" t="s">
        <v>7</v>
      </c>
      <c r="N2" s="152" t="s">
        <v>4</v>
      </c>
      <c r="O2" s="153" t="s">
        <v>3</v>
      </c>
      <c r="P2" s="154">
        <f>'NOV 2026'!P33</f>
        <v>268.89999999999998</v>
      </c>
      <c r="Q2" s="155"/>
      <c r="R2" s="156"/>
      <c r="S2" s="157"/>
      <c r="T2" s="158"/>
      <c r="U2" s="135"/>
      <c r="V2" s="159"/>
      <c r="W2" s="135"/>
      <c r="X2" s="24"/>
      <c r="Y2" s="160"/>
      <c r="Z2" s="161"/>
      <c r="AA2" s="24"/>
      <c r="AB2" s="162">
        <v>44895</v>
      </c>
      <c r="AC2" s="163"/>
      <c r="AD2" s="163"/>
      <c r="AE2" s="163"/>
      <c r="AF2" s="24"/>
      <c r="AG2" s="24"/>
      <c r="AH2" s="164"/>
      <c r="AI2" s="165"/>
      <c r="AJ2" s="24"/>
      <c r="AK2" s="163"/>
      <c r="AL2" s="24"/>
      <c r="AM2" s="302"/>
      <c r="AN2" s="16"/>
      <c r="AO2"/>
      <c r="AP2"/>
      <c r="AQ2" s="100"/>
      <c r="AR2" s="100"/>
      <c r="AS2" s="100"/>
      <c r="AT2" s="100"/>
      <c r="AU2" s="100"/>
      <c r="AV2" s="100"/>
      <c r="AW2" s="100"/>
      <c r="AX2"/>
      <c r="AZ2"/>
      <c r="BA2"/>
      <c r="BB2"/>
      <c r="BC2" s="20"/>
      <c r="BE2"/>
    </row>
    <row r="3" spans="1:57" ht="16.5" thickBot="1" x14ac:dyDescent="0.3">
      <c r="A3" s="166">
        <v>44895</v>
      </c>
      <c r="B3" s="167"/>
      <c r="C3" s="168"/>
      <c r="D3" s="168"/>
      <c r="E3" s="169"/>
      <c r="F3" s="170">
        <f>SUM(B3:E3)</f>
        <v>0</v>
      </c>
      <c r="G3" s="171">
        <f>F3</f>
        <v>0</v>
      </c>
      <c r="H3" s="168"/>
      <c r="I3" s="168"/>
      <c r="J3" s="169"/>
      <c r="K3" s="172">
        <f t="shared" ref="K3:K33" si="0">SUM(F3-H3-J3-I3)</f>
        <v>0</v>
      </c>
      <c r="L3" s="173">
        <f t="shared" ref="L3:L33" si="1">SUM(F3-H3-J3-I3)</f>
        <v>0</v>
      </c>
      <c r="M3" s="174"/>
      <c r="N3" s="175"/>
      <c r="O3" s="176">
        <f>SUM(L3-M3-N3+P2)</f>
        <v>268.89999999999998</v>
      </c>
      <c r="P3" s="177"/>
      <c r="Q3" s="178"/>
      <c r="R3" s="179"/>
      <c r="S3" s="180"/>
      <c r="T3" s="181"/>
      <c r="U3" s="124"/>
      <c r="V3" s="124"/>
      <c r="W3" s="135"/>
      <c r="X3" s="182">
        <v>1</v>
      </c>
      <c r="Y3" s="310"/>
      <c r="Z3" s="311"/>
      <c r="AA3" s="312"/>
      <c r="AB3" s="312"/>
      <c r="AC3" s="313"/>
      <c r="AD3" s="313"/>
      <c r="AE3" s="314">
        <f t="shared" ref="AE3:AE29" si="2">SUM(AC3:AD3)</f>
        <v>0</v>
      </c>
      <c r="AF3" s="312"/>
      <c r="AG3" s="312"/>
      <c r="AH3" s="315"/>
      <c r="AI3" s="316"/>
      <c r="AJ3" s="314">
        <v>0</v>
      </c>
      <c r="AK3" s="23"/>
      <c r="AL3" s="24"/>
      <c r="AM3" s="302"/>
      <c r="AN3" s="24"/>
      <c r="AQ3" s="100"/>
      <c r="AR3" s="59"/>
      <c r="AS3" s="59"/>
      <c r="AT3" s="59"/>
      <c r="AU3" s="59"/>
      <c r="AV3" s="59"/>
      <c r="AW3" s="100"/>
      <c r="AY3" s="2"/>
      <c r="AZ3" s="2"/>
      <c r="BA3" s="2"/>
      <c r="BB3" s="2"/>
      <c r="BC3" s="20"/>
      <c r="BD3" s="2"/>
    </row>
    <row r="4" spans="1:57" ht="16.5" thickBot="1" x14ac:dyDescent="0.3">
      <c r="A4" s="166">
        <v>44896</v>
      </c>
      <c r="B4" s="190"/>
      <c r="C4" s="179"/>
      <c r="D4" s="179"/>
      <c r="E4" s="175"/>
      <c r="F4" s="170">
        <f t="shared" ref="F4:F33" si="3">SUM(B4:E4)</f>
        <v>0</v>
      </c>
      <c r="G4" s="171">
        <f t="shared" ref="G4:G33" si="4">F4</f>
        <v>0</v>
      </c>
      <c r="H4" s="179"/>
      <c r="I4" s="191"/>
      <c r="J4" s="175"/>
      <c r="K4" s="192">
        <f t="shared" si="0"/>
        <v>0</v>
      </c>
      <c r="L4" s="193">
        <f t="shared" si="1"/>
        <v>0</v>
      </c>
      <c r="M4" s="174"/>
      <c r="N4" s="194"/>
      <c r="O4" s="195">
        <f>SUM(L4-M4-N4+O3+P4)</f>
        <v>268.89999999999998</v>
      </c>
      <c r="P4" s="196"/>
      <c r="Q4" s="197"/>
      <c r="R4" s="179"/>
      <c r="S4" s="198"/>
      <c r="T4" s="199"/>
      <c r="U4" s="124"/>
      <c r="V4" s="124"/>
      <c r="W4" s="135"/>
      <c r="X4" s="182">
        <v>2</v>
      </c>
      <c r="Y4" s="317"/>
      <c r="Z4" s="318"/>
      <c r="AA4" s="319"/>
      <c r="AB4" s="319"/>
      <c r="AC4" s="314"/>
      <c r="AD4" s="314"/>
      <c r="AE4" s="314">
        <f t="shared" si="2"/>
        <v>0</v>
      </c>
      <c r="AF4" s="319"/>
      <c r="AG4" s="319"/>
      <c r="AH4" s="315"/>
      <c r="AI4" s="316"/>
      <c r="AJ4" s="314">
        <f>AE4</f>
        <v>0</v>
      </c>
      <c r="AK4" s="25"/>
      <c r="AL4" s="124"/>
      <c r="AM4" s="124"/>
      <c r="AN4" s="28"/>
      <c r="AQ4" s="100"/>
      <c r="AR4" s="70"/>
      <c r="AS4" s="71"/>
      <c r="AT4" s="71"/>
      <c r="AU4" s="71"/>
      <c r="AV4" s="59"/>
      <c r="AW4" s="100"/>
      <c r="AY4" s="2"/>
      <c r="AZ4" s="2"/>
      <c r="BA4" s="12"/>
      <c r="BB4" s="2"/>
    </row>
    <row r="5" spans="1:57" ht="16.5" thickBot="1" x14ac:dyDescent="0.3">
      <c r="A5" s="166">
        <v>44897</v>
      </c>
      <c r="B5" s="190"/>
      <c r="C5" s="179"/>
      <c r="D5" s="179"/>
      <c r="E5" s="175"/>
      <c r="F5" s="170">
        <f t="shared" si="3"/>
        <v>0</v>
      </c>
      <c r="G5" s="171">
        <f t="shared" si="4"/>
        <v>0</v>
      </c>
      <c r="H5" s="179"/>
      <c r="I5" s="191"/>
      <c r="J5" s="175"/>
      <c r="K5" s="192">
        <f t="shared" si="0"/>
        <v>0</v>
      </c>
      <c r="L5" s="193">
        <f t="shared" si="1"/>
        <v>0</v>
      </c>
      <c r="M5" s="174"/>
      <c r="N5" s="194"/>
      <c r="O5" s="195">
        <f>SUM(L5-M5-N5+O4+P5)</f>
        <v>268.89999999999998</v>
      </c>
      <c r="P5" s="196"/>
      <c r="Q5" s="178"/>
      <c r="R5" s="179"/>
      <c r="S5" s="180"/>
      <c r="T5" s="181"/>
      <c r="U5" s="124"/>
      <c r="V5" s="124"/>
      <c r="W5" s="135"/>
      <c r="X5" s="182">
        <v>3</v>
      </c>
      <c r="Y5" s="317"/>
      <c r="Z5" s="318"/>
      <c r="AA5" s="319"/>
      <c r="AB5" s="319"/>
      <c r="AC5" s="313"/>
      <c r="AD5" s="313"/>
      <c r="AE5" s="314">
        <f t="shared" si="2"/>
        <v>0</v>
      </c>
      <c r="AF5" s="319"/>
      <c r="AG5" s="319"/>
      <c r="AH5" s="315"/>
      <c r="AI5" s="316"/>
      <c r="AJ5" s="314">
        <v>0</v>
      </c>
      <c r="AK5" s="25"/>
      <c r="AL5" s="124"/>
      <c r="AM5" s="124"/>
      <c r="AN5" s="32"/>
      <c r="AQ5" s="100"/>
      <c r="AR5" s="70"/>
      <c r="AS5" s="71"/>
      <c r="AT5" s="71"/>
      <c r="AU5" s="71"/>
      <c r="AV5" s="59"/>
      <c r="AW5" s="100"/>
      <c r="AY5" s="12"/>
      <c r="AZ5" s="2"/>
      <c r="BA5" s="12"/>
      <c r="BB5" s="2"/>
    </row>
    <row r="6" spans="1:57" ht="19.5" thickBot="1" x14ac:dyDescent="0.35">
      <c r="A6" s="166">
        <v>44898</v>
      </c>
      <c r="B6" s="190"/>
      <c r="C6" s="179"/>
      <c r="D6" s="179"/>
      <c r="E6" s="175"/>
      <c r="F6" s="170">
        <f t="shared" si="3"/>
        <v>0</v>
      </c>
      <c r="G6" s="171">
        <f t="shared" si="4"/>
        <v>0</v>
      </c>
      <c r="H6" s="179"/>
      <c r="I6" s="191"/>
      <c r="J6" s="175"/>
      <c r="K6" s="192">
        <f t="shared" si="0"/>
        <v>0</v>
      </c>
      <c r="L6" s="193">
        <f t="shared" si="1"/>
        <v>0</v>
      </c>
      <c r="M6" s="174"/>
      <c r="N6" s="194"/>
      <c r="O6" s="195">
        <f>SUM(L6-M6-N6+O5+P6)</f>
        <v>268.89999999999998</v>
      </c>
      <c r="P6" s="196"/>
      <c r="Q6" s="178"/>
      <c r="R6" s="179"/>
      <c r="S6" s="198"/>
      <c r="T6" s="199"/>
      <c r="U6" s="124"/>
      <c r="V6" s="124"/>
      <c r="W6" s="135"/>
      <c r="X6" s="182">
        <v>4</v>
      </c>
      <c r="Y6" s="310"/>
      <c r="Z6" s="311"/>
      <c r="AA6" s="312"/>
      <c r="AB6" s="320"/>
      <c r="AC6" s="313"/>
      <c r="AD6" s="313"/>
      <c r="AE6" s="314">
        <f t="shared" si="2"/>
        <v>0</v>
      </c>
      <c r="AF6" s="312"/>
      <c r="AG6" s="312"/>
      <c r="AH6" s="315"/>
      <c r="AI6" s="316"/>
      <c r="AJ6" s="314">
        <v>0</v>
      </c>
      <c r="AK6" s="301"/>
      <c r="AL6" s="124"/>
      <c r="AM6" s="124"/>
      <c r="AN6" s="34"/>
      <c r="AQ6" s="100"/>
      <c r="AR6" s="70"/>
      <c r="AS6" s="71"/>
      <c r="AT6" s="71"/>
      <c r="AU6" s="71"/>
      <c r="AV6" s="59"/>
      <c r="AW6" s="100"/>
      <c r="AY6" s="12"/>
      <c r="AZ6" s="2"/>
      <c r="BA6" s="12"/>
      <c r="BB6" s="2"/>
    </row>
    <row r="7" spans="1:57" ht="16.5" thickBot="1" x14ac:dyDescent="0.3">
      <c r="A7" s="166">
        <v>44899</v>
      </c>
      <c r="B7" s="190"/>
      <c r="C7" s="179"/>
      <c r="D7" s="179"/>
      <c r="E7" s="175"/>
      <c r="F7" s="170">
        <f t="shared" si="3"/>
        <v>0</v>
      </c>
      <c r="G7" s="171">
        <f t="shared" si="4"/>
        <v>0</v>
      </c>
      <c r="H7" s="179"/>
      <c r="I7" s="191"/>
      <c r="J7" s="175"/>
      <c r="K7" s="192">
        <f t="shared" si="0"/>
        <v>0</v>
      </c>
      <c r="L7" s="193">
        <f t="shared" si="1"/>
        <v>0</v>
      </c>
      <c r="M7" s="174"/>
      <c r="N7" s="194"/>
      <c r="O7" s="195">
        <f>SUM(L7-M7-N7+O6+P7)</f>
        <v>268.89999999999998</v>
      </c>
      <c r="P7" s="196"/>
      <c r="Q7" s="178"/>
      <c r="R7" s="179"/>
      <c r="S7" s="180"/>
      <c r="T7" s="199"/>
      <c r="U7" s="124"/>
      <c r="V7" s="124"/>
      <c r="W7" s="135"/>
      <c r="X7" s="182">
        <v>5</v>
      </c>
      <c r="Y7" s="317"/>
      <c r="Z7" s="318"/>
      <c r="AA7" s="319"/>
      <c r="AB7" s="319"/>
      <c r="AC7" s="314"/>
      <c r="AD7" s="314"/>
      <c r="AE7" s="314">
        <f t="shared" si="2"/>
        <v>0</v>
      </c>
      <c r="AF7" s="319"/>
      <c r="AG7" s="312"/>
      <c r="AH7" s="315"/>
      <c r="AI7" s="316"/>
      <c r="AJ7" s="314">
        <v>0</v>
      </c>
      <c r="AK7" s="23"/>
      <c r="AL7" s="124"/>
      <c r="AM7" s="124"/>
      <c r="AN7" s="24"/>
      <c r="AQ7" s="100"/>
      <c r="AR7" s="70"/>
      <c r="AS7" s="59"/>
      <c r="AT7" s="59"/>
      <c r="AU7" s="71"/>
      <c r="AV7" s="59"/>
      <c r="AW7" s="100"/>
      <c r="AY7" s="2"/>
      <c r="AZ7" s="2"/>
      <c r="BA7" s="12"/>
      <c r="BB7" s="2"/>
    </row>
    <row r="8" spans="1:57" ht="19.5" thickBot="1" x14ac:dyDescent="0.35">
      <c r="A8" s="166">
        <v>44900</v>
      </c>
      <c r="B8" s="190"/>
      <c r="C8" s="179"/>
      <c r="D8" s="179"/>
      <c r="E8" s="175"/>
      <c r="F8" s="170">
        <f t="shared" si="3"/>
        <v>0</v>
      </c>
      <c r="G8" s="171">
        <f t="shared" si="4"/>
        <v>0</v>
      </c>
      <c r="H8" s="179"/>
      <c r="I8" s="191"/>
      <c r="J8" s="175"/>
      <c r="K8" s="192">
        <f t="shared" si="0"/>
        <v>0</v>
      </c>
      <c r="L8" s="193">
        <f t="shared" si="1"/>
        <v>0</v>
      </c>
      <c r="M8" s="209"/>
      <c r="N8" s="194"/>
      <c r="O8" s="195">
        <f>SUM(L8-M8-N8+O7+P8)</f>
        <v>268.89999999999998</v>
      </c>
      <c r="P8" s="196"/>
      <c r="Q8" s="178"/>
      <c r="R8" s="179"/>
      <c r="S8" s="180"/>
      <c r="T8" s="199"/>
      <c r="U8" s="124"/>
      <c r="V8" s="124"/>
      <c r="W8" s="135"/>
      <c r="X8" s="182">
        <v>6</v>
      </c>
      <c r="Y8" s="310"/>
      <c r="Z8" s="311"/>
      <c r="AA8" s="312"/>
      <c r="AB8" s="312"/>
      <c r="AC8" s="313"/>
      <c r="AD8" s="313"/>
      <c r="AE8" s="314">
        <f t="shared" si="2"/>
        <v>0</v>
      </c>
      <c r="AF8" s="319"/>
      <c r="AG8" s="312"/>
      <c r="AH8" s="315"/>
      <c r="AI8" s="316"/>
      <c r="AJ8" s="314">
        <v>0</v>
      </c>
      <c r="AK8" s="163"/>
      <c r="AL8" s="124"/>
      <c r="AM8" s="124"/>
      <c r="AN8" s="34"/>
      <c r="AQ8" s="100"/>
      <c r="AR8" s="59"/>
      <c r="AS8" s="71"/>
      <c r="AT8" s="71"/>
      <c r="AU8" s="71"/>
      <c r="AV8" s="59"/>
      <c r="AW8" s="100"/>
      <c r="AY8" s="2"/>
      <c r="AZ8" s="2"/>
      <c r="BA8" s="2"/>
      <c r="BB8" s="2"/>
    </row>
    <row r="9" spans="1:57" ht="16.5" thickBot="1" x14ac:dyDescent="0.3">
      <c r="A9" s="166">
        <v>44901</v>
      </c>
      <c r="B9" s="190"/>
      <c r="C9" s="179"/>
      <c r="D9" s="179"/>
      <c r="E9" s="175"/>
      <c r="F9" s="170">
        <f t="shared" si="3"/>
        <v>0</v>
      </c>
      <c r="G9" s="171">
        <f t="shared" si="4"/>
        <v>0</v>
      </c>
      <c r="H9" s="179"/>
      <c r="I9" s="191"/>
      <c r="J9" s="175"/>
      <c r="K9" s="192">
        <f t="shared" si="0"/>
        <v>0</v>
      </c>
      <c r="L9" s="193">
        <f t="shared" si="1"/>
        <v>0</v>
      </c>
      <c r="M9" s="174"/>
      <c r="N9" s="194"/>
      <c r="O9" s="195">
        <f t="shared" ref="O9:O33" si="5">SUM(L9-M9-N9+O8)</f>
        <v>268.89999999999998</v>
      </c>
      <c r="P9" s="196"/>
      <c r="Q9" s="178"/>
      <c r="R9" s="179"/>
      <c r="S9" s="180"/>
      <c r="T9" s="199"/>
      <c r="U9" s="124"/>
      <c r="V9" s="124"/>
      <c r="W9" s="135"/>
      <c r="X9" s="182">
        <v>7</v>
      </c>
      <c r="Y9" s="200"/>
      <c r="Z9" s="201"/>
      <c r="AA9" s="182"/>
      <c r="AB9" s="182"/>
      <c r="AC9" s="210"/>
      <c r="AD9" s="210"/>
      <c r="AE9" s="108">
        <f t="shared" si="2"/>
        <v>0</v>
      </c>
      <c r="AF9" s="182"/>
      <c r="AG9" s="182"/>
      <c r="AH9" s="202"/>
      <c r="AI9" s="203"/>
      <c r="AJ9" s="108">
        <f>AE9</f>
        <v>0</v>
      </c>
      <c r="AK9" s="163"/>
      <c r="AL9" s="124"/>
      <c r="AM9" s="124"/>
      <c r="AN9" s="24"/>
      <c r="AQ9" s="100"/>
      <c r="AR9" s="70"/>
      <c r="AS9" s="59"/>
      <c r="AT9" s="59"/>
      <c r="AU9" s="59"/>
      <c r="AV9" s="59"/>
      <c r="AW9" s="100"/>
      <c r="AY9" s="2"/>
      <c r="AZ9" s="2"/>
      <c r="BA9" s="2"/>
      <c r="BB9" s="2"/>
    </row>
    <row r="10" spans="1:57" ht="19.5" thickBot="1" x14ac:dyDescent="0.35">
      <c r="A10" s="166">
        <v>44902</v>
      </c>
      <c r="B10" s="190"/>
      <c r="C10" s="179"/>
      <c r="D10" s="179"/>
      <c r="E10" s="175"/>
      <c r="F10" s="170">
        <f t="shared" si="3"/>
        <v>0</v>
      </c>
      <c r="G10" s="171">
        <f t="shared" si="4"/>
        <v>0</v>
      </c>
      <c r="H10" s="179"/>
      <c r="I10" s="191"/>
      <c r="J10" s="175"/>
      <c r="K10" s="192">
        <f t="shared" si="0"/>
        <v>0</v>
      </c>
      <c r="L10" s="193">
        <f t="shared" si="1"/>
        <v>0</v>
      </c>
      <c r="M10" s="174"/>
      <c r="N10" s="194"/>
      <c r="O10" s="195">
        <f t="shared" si="5"/>
        <v>268.89999999999998</v>
      </c>
      <c r="P10" s="196"/>
      <c r="Q10" s="178"/>
      <c r="R10" s="179"/>
      <c r="S10" s="180"/>
      <c r="T10" s="199"/>
      <c r="U10" s="124"/>
      <c r="V10" s="124"/>
      <c r="W10" s="135"/>
      <c r="X10" s="182">
        <v>8</v>
      </c>
      <c r="Y10" s="200"/>
      <c r="Z10" s="201"/>
      <c r="AA10" s="182"/>
      <c r="AB10" s="182"/>
      <c r="AC10" s="210"/>
      <c r="AD10" s="210"/>
      <c r="AE10" s="108">
        <f t="shared" si="2"/>
        <v>0</v>
      </c>
      <c r="AF10" s="182"/>
      <c r="AG10" s="182"/>
      <c r="AH10" s="202"/>
      <c r="AI10" s="203"/>
      <c r="AJ10" s="108">
        <f t="shared" ref="AJ10:AJ29" si="6">AE10</f>
        <v>0</v>
      </c>
      <c r="AK10" s="163"/>
      <c r="AL10" s="124"/>
      <c r="AM10" s="124"/>
      <c r="AN10" s="22"/>
      <c r="AQ10" s="100"/>
      <c r="AR10" s="59"/>
      <c r="AS10" s="59"/>
      <c r="AT10" s="59"/>
      <c r="AU10" s="59"/>
      <c r="AV10" s="59"/>
      <c r="AW10" s="100"/>
      <c r="AY10" s="2"/>
      <c r="AZ10" s="2"/>
      <c r="BA10" s="2"/>
      <c r="BB10" s="2"/>
    </row>
    <row r="11" spans="1:57" ht="19.5" thickBot="1" x14ac:dyDescent="0.35">
      <c r="A11" s="166">
        <v>44903</v>
      </c>
      <c r="B11" s="190"/>
      <c r="C11" s="179"/>
      <c r="D11" s="179"/>
      <c r="E11" s="175"/>
      <c r="F11" s="170">
        <f t="shared" si="3"/>
        <v>0</v>
      </c>
      <c r="G11" s="171">
        <f t="shared" si="4"/>
        <v>0</v>
      </c>
      <c r="H11" s="179"/>
      <c r="I11" s="191"/>
      <c r="J11" s="175"/>
      <c r="K11" s="192">
        <f t="shared" si="0"/>
        <v>0</v>
      </c>
      <c r="L11" s="193">
        <f t="shared" si="1"/>
        <v>0</v>
      </c>
      <c r="M11" s="174"/>
      <c r="N11" s="194"/>
      <c r="O11" s="195">
        <f t="shared" si="5"/>
        <v>268.89999999999998</v>
      </c>
      <c r="P11" s="196"/>
      <c r="Q11" s="211"/>
      <c r="R11" s="212"/>
      <c r="S11" s="198"/>
      <c r="T11" s="213"/>
      <c r="U11" s="124"/>
      <c r="V11" s="124"/>
      <c r="W11" s="135"/>
      <c r="X11" s="182">
        <v>9</v>
      </c>
      <c r="Y11" s="200"/>
      <c r="Z11" s="201"/>
      <c r="AA11" s="182"/>
      <c r="AB11" s="182"/>
      <c r="AC11" s="108"/>
      <c r="AD11" s="108"/>
      <c r="AE11" s="108">
        <f t="shared" si="2"/>
        <v>0</v>
      </c>
      <c r="AF11" s="182"/>
      <c r="AG11" s="182"/>
      <c r="AH11" s="202"/>
      <c r="AI11" s="203"/>
      <c r="AJ11" s="108">
        <f t="shared" si="6"/>
        <v>0</v>
      </c>
      <c r="AK11" s="163"/>
      <c r="AL11" s="124"/>
      <c r="AM11" s="124"/>
      <c r="AN11" s="22"/>
      <c r="AQ11" s="100"/>
      <c r="AR11" s="59"/>
      <c r="AS11" s="59"/>
      <c r="AT11" s="59"/>
      <c r="AU11" s="59"/>
      <c r="AV11" s="75"/>
      <c r="AW11" s="100"/>
      <c r="AY11" s="2"/>
      <c r="AZ11" s="2"/>
      <c r="BA11" s="2"/>
      <c r="BB11" s="2"/>
    </row>
    <row r="12" spans="1:57" ht="19.5" thickBot="1" x14ac:dyDescent="0.35">
      <c r="A12" s="166">
        <v>44904</v>
      </c>
      <c r="B12" s="190"/>
      <c r="C12" s="179"/>
      <c r="D12" s="179"/>
      <c r="E12" s="175"/>
      <c r="F12" s="170">
        <f t="shared" si="3"/>
        <v>0</v>
      </c>
      <c r="G12" s="171">
        <f t="shared" si="4"/>
        <v>0</v>
      </c>
      <c r="H12" s="179"/>
      <c r="I12" s="191"/>
      <c r="J12" s="175"/>
      <c r="K12" s="192">
        <f t="shared" si="0"/>
        <v>0</v>
      </c>
      <c r="L12" s="193">
        <f t="shared" si="1"/>
        <v>0</v>
      </c>
      <c r="M12" s="214"/>
      <c r="N12" s="194"/>
      <c r="O12" s="195">
        <f t="shared" si="5"/>
        <v>268.89999999999998</v>
      </c>
      <c r="P12" s="196"/>
      <c r="Q12" s="211"/>
      <c r="R12" s="212"/>
      <c r="S12" s="198"/>
      <c r="T12" s="213"/>
      <c r="U12" s="124"/>
      <c r="V12" s="124"/>
      <c r="W12" s="135"/>
      <c r="X12" s="182">
        <v>10</v>
      </c>
      <c r="Y12" s="200"/>
      <c r="Z12" s="201"/>
      <c r="AA12" s="182"/>
      <c r="AB12" s="182"/>
      <c r="AC12" s="108"/>
      <c r="AD12" s="108"/>
      <c r="AE12" s="108">
        <f t="shared" si="2"/>
        <v>0</v>
      </c>
      <c r="AF12" s="182"/>
      <c r="AG12" s="182"/>
      <c r="AH12" s="202"/>
      <c r="AI12" s="203"/>
      <c r="AJ12" s="108">
        <f t="shared" si="6"/>
        <v>0</v>
      </c>
      <c r="AK12" s="163"/>
      <c r="AL12" s="124"/>
      <c r="AM12" s="124"/>
      <c r="AN12" s="22"/>
      <c r="AQ12" s="100"/>
      <c r="AR12" s="75"/>
      <c r="AS12" s="59"/>
      <c r="AT12" s="59"/>
      <c r="AU12" s="59"/>
      <c r="AV12" s="75"/>
      <c r="AW12" s="100"/>
      <c r="AY12" s="2"/>
      <c r="AZ12" s="2"/>
      <c r="BA12" s="2"/>
      <c r="BB12" s="2"/>
    </row>
    <row r="13" spans="1:57" ht="19.5" thickBot="1" x14ac:dyDescent="0.35">
      <c r="A13" s="166">
        <v>44905</v>
      </c>
      <c r="B13" s="190"/>
      <c r="C13" s="179"/>
      <c r="D13" s="179"/>
      <c r="E13" s="175"/>
      <c r="F13" s="170">
        <f t="shared" si="3"/>
        <v>0</v>
      </c>
      <c r="G13" s="171">
        <f t="shared" si="4"/>
        <v>0</v>
      </c>
      <c r="H13" s="179"/>
      <c r="I13" s="191"/>
      <c r="J13" s="175"/>
      <c r="K13" s="192">
        <f t="shared" si="0"/>
        <v>0</v>
      </c>
      <c r="L13" s="193">
        <f t="shared" si="1"/>
        <v>0</v>
      </c>
      <c r="M13" s="174"/>
      <c r="N13" s="194"/>
      <c r="O13" s="195">
        <f t="shared" si="5"/>
        <v>268.89999999999998</v>
      </c>
      <c r="P13" s="196"/>
      <c r="Q13" s="215"/>
      <c r="R13" s="212"/>
      <c r="S13" s="198"/>
      <c r="T13" s="199"/>
      <c r="U13" s="124"/>
      <c r="V13" s="124"/>
      <c r="W13" s="135"/>
      <c r="X13" s="182">
        <v>11</v>
      </c>
      <c r="Y13" s="200"/>
      <c r="Z13" s="201"/>
      <c r="AA13" s="182"/>
      <c r="AB13" s="182"/>
      <c r="AC13" s="108"/>
      <c r="AD13" s="108"/>
      <c r="AE13" s="108">
        <f t="shared" si="2"/>
        <v>0</v>
      </c>
      <c r="AF13" s="182"/>
      <c r="AG13" s="216"/>
      <c r="AH13" s="202"/>
      <c r="AI13" s="203"/>
      <c r="AJ13" s="108">
        <f t="shared" si="6"/>
        <v>0</v>
      </c>
      <c r="AK13" s="301"/>
      <c r="AL13" s="124"/>
      <c r="AM13" s="124"/>
      <c r="AN13" s="16"/>
      <c r="AQ13" s="100"/>
      <c r="AR13" s="75"/>
      <c r="AS13" s="59"/>
      <c r="AT13" s="59"/>
      <c r="AU13" s="59"/>
      <c r="AV13" s="75"/>
      <c r="AW13" s="100"/>
    </row>
    <row r="14" spans="1:57" ht="19.5" thickBot="1" x14ac:dyDescent="0.35">
      <c r="A14" s="166">
        <v>44906</v>
      </c>
      <c r="B14" s="190"/>
      <c r="C14" s="179"/>
      <c r="D14" s="179"/>
      <c r="E14" s="175"/>
      <c r="F14" s="170">
        <f t="shared" si="3"/>
        <v>0</v>
      </c>
      <c r="G14" s="171">
        <f t="shared" si="4"/>
        <v>0</v>
      </c>
      <c r="H14" s="179"/>
      <c r="I14" s="191"/>
      <c r="J14" s="175"/>
      <c r="K14" s="192">
        <f t="shared" si="0"/>
        <v>0</v>
      </c>
      <c r="L14" s="193">
        <f t="shared" si="1"/>
        <v>0</v>
      </c>
      <c r="M14" s="174"/>
      <c r="N14" s="194"/>
      <c r="O14" s="195">
        <f t="shared" si="5"/>
        <v>268.89999999999998</v>
      </c>
      <c r="P14" s="196"/>
      <c r="Q14" s="215"/>
      <c r="R14" s="212"/>
      <c r="S14" s="198"/>
      <c r="T14" s="199"/>
      <c r="U14" s="124"/>
      <c r="V14" s="124"/>
      <c r="W14" s="135"/>
      <c r="X14" s="182">
        <v>12</v>
      </c>
      <c r="Y14" s="217"/>
      <c r="Z14" s="201"/>
      <c r="AA14" s="182"/>
      <c r="AB14" s="182"/>
      <c r="AC14" s="210"/>
      <c r="AD14" s="210"/>
      <c r="AE14" s="108">
        <f t="shared" si="2"/>
        <v>0</v>
      </c>
      <c r="AF14" s="182"/>
      <c r="AG14" s="216"/>
      <c r="AH14" s="202"/>
      <c r="AI14" s="203"/>
      <c r="AJ14" s="108">
        <f t="shared" si="6"/>
        <v>0</v>
      </c>
      <c r="AK14" s="301"/>
      <c r="AL14" s="124"/>
      <c r="AM14" s="124"/>
      <c r="AN14" s="16"/>
      <c r="AO14" s="4"/>
      <c r="AQ14" s="100"/>
      <c r="AR14" s="59"/>
      <c r="AS14" s="59"/>
      <c r="AT14" s="59"/>
      <c r="AU14" s="59"/>
      <c r="AV14" s="75"/>
      <c r="AW14" s="100"/>
    </row>
    <row r="15" spans="1:57" ht="19.5" thickBot="1" x14ac:dyDescent="0.35">
      <c r="A15" s="166">
        <v>44907</v>
      </c>
      <c r="B15" s="190"/>
      <c r="C15" s="179"/>
      <c r="D15" s="179"/>
      <c r="E15" s="175"/>
      <c r="F15" s="170">
        <f t="shared" si="3"/>
        <v>0</v>
      </c>
      <c r="G15" s="171">
        <f t="shared" si="4"/>
        <v>0</v>
      </c>
      <c r="H15" s="179"/>
      <c r="I15" s="191"/>
      <c r="J15" s="175"/>
      <c r="K15" s="192">
        <f t="shared" si="0"/>
        <v>0</v>
      </c>
      <c r="L15" s="193">
        <f t="shared" si="1"/>
        <v>0</v>
      </c>
      <c r="M15" s="174"/>
      <c r="N15" s="194"/>
      <c r="O15" s="195">
        <f t="shared" si="5"/>
        <v>268.89999999999998</v>
      </c>
      <c r="P15" s="196"/>
      <c r="Q15" s="218"/>
      <c r="R15" s="179"/>
      <c r="S15" s="180"/>
      <c r="T15" s="199"/>
      <c r="U15" s="124"/>
      <c r="V15" s="124"/>
      <c r="W15" s="135"/>
      <c r="X15" s="182">
        <v>13</v>
      </c>
      <c r="Y15" s="200"/>
      <c r="Z15" s="201"/>
      <c r="AA15" s="182"/>
      <c r="AB15" s="182"/>
      <c r="AC15" s="210"/>
      <c r="AD15" s="210"/>
      <c r="AE15" s="108">
        <f t="shared" si="2"/>
        <v>0</v>
      </c>
      <c r="AF15" s="182"/>
      <c r="AG15" s="182"/>
      <c r="AH15" s="202"/>
      <c r="AI15" s="203"/>
      <c r="AJ15" s="108">
        <f t="shared" si="6"/>
        <v>0</v>
      </c>
      <c r="AK15" s="301"/>
      <c r="AL15" s="124"/>
      <c r="AM15" s="124"/>
      <c r="AN15" s="16"/>
      <c r="AQ15" s="100"/>
      <c r="AR15" s="59"/>
      <c r="AS15" s="59"/>
      <c r="AT15" s="59"/>
      <c r="AU15" s="59"/>
      <c r="AV15" s="75"/>
      <c r="AW15" s="100"/>
    </row>
    <row r="16" spans="1:57" ht="19.5" thickBot="1" x14ac:dyDescent="0.35">
      <c r="A16" s="166">
        <v>44908</v>
      </c>
      <c r="B16" s="190"/>
      <c r="C16" s="179"/>
      <c r="D16" s="179"/>
      <c r="E16" s="175"/>
      <c r="F16" s="170">
        <f t="shared" si="3"/>
        <v>0</v>
      </c>
      <c r="G16" s="171">
        <f t="shared" si="4"/>
        <v>0</v>
      </c>
      <c r="H16" s="179"/>
      <c r="I16" s="191"/>
      <c r="J16" s="175"/>
      <c r="K16" s="192">
        <f t="shared" si="0"/>
        <v>0</v>
      </c>
      <c r="L16" s="193">
        <f t="shared" si="1"/>
        <v>0</v>
      </c>
      <c r="M16" s="209"/>
      <c r="N16" s="194"/>
      <c r="O16" s="195">
        <f t="shared" si="5"/>
        <v>268.89999999999998</v>
      </c>
      <c r="P16" s="196"/>
      <c r="Q16" s="219"/>
      <c r="R16" s="179"/>
      <c r="S16" s="180"/>
      <c r="T16" s="199"/>
      <c r="U16" s="124"/>
      <c r="V16" s="124"/>
      <c r="W16" s="135"/>
      <c r="X16" s="182">
        <v>14</v>
      </c>
      <c r="Y16" s="200"/>
      <c r="Z16" s="201"/>
      <c r="AA16" s="182"/>
      <c r="AB16" s="182"/>
      <c r="AC16" s="210"/>
      <c r="AD16" s="210"/>
      <c r="AE16" s="108">
        <f t="shared" si="2"/>
        <v>0</v>
      </c>
      <c r="AF16" s="182"/>
      <c r="AG16" s="182"/>
      <c r="AH16" s="202"/>
      <c r="AI16" s="203"/>
      <c r="AJ16" s="108">
        <f t="shared" si="6"/>
        <v>0</v>
      </c>
      <c r="AK16" s="301"/>
      <c r="AL16" s="124"/>
      <c r="AM16" s="124"/>
      <c r="AN16" s="16"/>
      <c r="AQ16" s="100"/>
      <c r="AR16" s="59"/>
      <c r="AS16" s="59"/>
      <c r="AT16" s="59"/>
      <c r="AU16" s="59"/>
      <c r="AV16" s="75"/>
      <c r="AW16" s="100"/>
    </row>
    <row r="17" spans="1:54" ht="19.5" thickBot="1" x14ac:dyDescent="0.35">
      <c r="A17" s="166">
        <v>44909</v>
      </c>
      <c r="B17" s="190"/>
      <c r="C17" s="179"/>
      <c r="D17" s="179"/>
      <c r="E17" s="175"/>
      <c r="F17" s="170">
        <f t="shared" si="3"/>
        <v>0</v>
      </c>
      <c r="G17" s="171">
        <f t="shared" si="4"/>
        <v>0</v>
      </c>
      <c r="H17" s="179"/>
      <c r="I17" s="191"/>
      <c r="J17" s="175"/>
      <c r="K17" s="192">
        <f t="shared" si="0"/>
        <v>0</v>
      </c>
      <c r="L17" s="193">
        <f t="shared" si="1"/>
        <v>0</v>
      </c>
      <c r="M17" s="209"/>
      <c r="N17" s="194"/>
      <c r="O17" s="195">
        <f>SUM(L17-M17-N17+O16+P17)</f>
        <v>268.89999999999998</v>
      </c>
      <c r="P17" s="196"/>
      <c r="Q17" s="218"/>
      <c r="R17" s="179"/>
      <c r="S17" s="180"/>
      <c r="T17" s="199"/>
      <c r="U17" s="124"/>
      <c r="V17" s="124"/>
      <c r="W17" s="135"/>
      <c r="X17" s="182">
        <v>15</v>
      </c>
      <c r="Y17" s="200"/>
      <c r="Z17" s="201"/>
      <c r="AA17" s="182"/>
      <c r="AB17" s="182"/>
      <c r="AC17" s="210"/>
      <c r="AD17" s="210"/>
      <c r="AE17" s="108">
        <f t="shared" si="2"/>
        <v>0</v>
      </c>
      <c r="AF17" s="182"/>
      <c r="AG17" s="216"/>
      <c r="AH17" s="202"/>
      <c r="AI17" s="203"/>
      <c r="AJ17" s="108">
        <f t="shared" si="6"/>
        <v>0</v>
      </c>
      <c r="AK17" s="301"/>
      <c r="AL17" s="124"/>
      <c r="AM17" s="124"/>
      <c r="AN17" s="16"/>
      <c r="AQ17" s="100"/>
      <c r="AR17" s="59"/>
      <c r="AS17" s="59"/>
      <c r="AT17" s="59"/>
      <c r="AU17" s="59"/>
      <c r="AV17" s="75"/>
      <c r="AW17" s="100"/>
    </row>
    <row r="18" spans="1:54" ht="19.5" thickBot="1" x14ac:dyDescent="0.35">
      <c r="A18" s="166">
        <v>44910</v>
      </c>
      <c r="B18" s="190"/>
      <c r="C18" s="179"/>
      <c r="D18" s="179"/>
      <c r="E18" s="175"/>
      <c r="F18" s="170">
        <f t="shared" si="3"/>
        <v>0</v>
      </c>
      <c r="G18" s="171">
        <f t="shared" si="4"/>
        <v>0</v>
      </c>
      <c r="H18" s="179"/>
      <c r="I18" s="191"/>
      <c r="J18" s="175"/>
      <c r="K18" s="192">
        <f t="shared" si="0"/>
        <v>0</v>
      </c>
      <c r="L18" s="193">
        <f t="shared" si="1"/>
        <v>0</v>
      </c>
      <c r="M18" s="174"/>
      <c r="N18" s="220"/>
      <c r="O18" s="195">
        <f>SUM(L18-M18-N18+O17+P18)</f>
        <v>268.89999999999998</v>
      </c>
      <c r="P18" s="196"/>
      <c r="Q18" s="218"/>
      <c r="R18" s="179"/>
      <c r="S18" s="180"/>
      <c r="T18" s="199"/>
      <c r="U18" s="124"/>
      <c r="V18" s="124"/>
      <c r="W18" s="135"/>
      <c r="X18" s="182">
        <v>16</v>
      </c>
      <c r="Y18" s="200"/>
      <c r="Z18" s="201"/>
      <c r="AA18" s="182"/>
      <c r="AB18" s="182"/>
      <c r="AC18" s="108"/>
      <c r="AD18" s="108"/>
      <c r="AE18" s="108">
        <f t="shared" si="2"/>
        <v>0</v>
      </c>
      <c r="AF18" s="182"/>
      <c r="AG18" s="182"/>
      <c r="AH18" s="202"/>
      <c r="AI18" s="203"/>
      <c r="AJ18" s="108">
        <f t="shared" si="6"/>
        <v>0</v>
      </c>
      <c r="AK18" s="301"/>
      <c r="AL18" s="124"/>
      <c r="AM18" s="124"/>
      <c r="AN18" s="16"/>
      <c r="AQ18" s="100"/>
      <c r="AR18" s="59"/>
      <c r="AS18" s="59"/>
      <c r="AT18" s="59"/>
      <c r="AU18" s="59"/>
      <c r="AV18" s="59"/>
      <c r="AW18" s="100"/>
    </row>
    <row r="19" spans="1:54" ht="19.5" thickBot="1" x14ac:dyDescent="0.35">
      <c r="A19" s="166">
        <v>44911</v>
      </c>
      <c r="B19" s="190"/>
      <c r="C19" s="179"/>
      <c r="D19" s="179"/>
      <c r="E19" s="175"/>
      <c r="F19" s="170">
        <f t="shared" si="3"/>
        <v>0</v>
      </c>
      <c r="G19" s="171">
        <f t="shared" si="4"/>
        <v>0</v>
      </c>
      <c r="H19" s="179"/>
      <c r="I19" s="191"/>
      <c r="J19" s="175"/>
      <c r="K19" s="192">
        <f t="shared" si="0"/>
        <v>0</v>
      </c>
      <c r="L19" s="193">
        <f t="shared" si="1"/>
        <v>0</v>
      </c>
      <c r="M19" s="174"/>
      <c r="N19" s="194"/>
      <c r="O19" s="195">
        <f>SUM(L19-M19-N19+O18+P19)</f>
        <v>268.89999999999998</v>
      </c>
      <c r="P19" s="196"/>
      <c r="Q19" s="218"/>
      <c r="R19" s="179"/>
      <c r="S19" s="180"/>
      <c r="T19" s="199"/>
      <c r="U19" s="124"/>
      <c r="V19" s="124"/>
      <c r="W19" s="135"/>
      <c r="X19" s="182">
        <v>17</v>
      </c>
      <c r="Y19" s="200"/>
      <c r="Z19" s="201"/>
      <c r="AA19" s="182"/>
      <c r="AB19" s="182"/>
      <c r="AC19" s="210"/>
      <c r="AD19" s="210"/>
      <c r="AE19" s="108">
        <f t="shared" si="2"/>
        <v>0</v>
      </c>
      <c r="AF19" s="208"/>
      <c r="AG19" s="182"/>
      <c r="AH19" s="202"/>
      <c r="AI19" s="203"/>
      <c r="AJ19" s="108">
        <f t="shared" si="6"/>
        <v>0</v>
      </c>
      <c r="AK19" s="301"/>
      <c r="AL19" s="124"/>
      <c r="AM19" s="124"/>
      <c r="AN19" s="16"/>
      <c r="AQ19" s="100"/>
      <c r="AR19" s="59"/>
      <c r="AS19" s="59"/>
      <c r="AT19" s="59"/>
      <c r="AU19" s="59"/>
      <c r="AV19" s="59"/>
      <c r="AW19" s="100"/>
    </row>
    <row r="20" spans="1:54" ht="19.5" thickBot="1" x14ac:dyDescent="0.35">
      <c r="A20" s="166">
        <v>44912</v>
      </c>
      <c r="B20" s="190"/>
      <c r="C20" s="179"/>
      <c r="D20" s="179"/>
      <c r="E20" s="175"/>
      <c r="F20" s="170">
        <f t="shared" si="3"/>
        <v>0</v>
      </c>
      <c r="G20" s="171">
        <f t="shared" si="4"/>
        <v>0</v>
      </c>
      <c r="H20" s="179"/>
      <c r="I20" s="191"/>
      <c r="J20" s="175"/>
      <c r="K20" s="192">
        <f t="shared" si="0"/>
        <v>0</v>
      </c>
      <c r="L20" s="193">
        <f t="shared" si="1"/>
        <v>0</v>
      </c>
      <c r="M20" s="174"/>
      <c r="N20" s="194"/>
      <c r="O20" s="195">
        <f>SUM(L20-M20-N20+O19+P20)</f>
        <v>268.89999999999998</v>
      </c>
      <c r="P20" s="196"/>
      <c r="Q20" s="218"/>
      <c r="R20" s="179"/>
      <c r="S20" s="180"/>
      <c r="T20" s="199"/>
      <c r="U20" s="124"/>
      <c r="V20" s="124"/>
      <c r="W20" s="135"/>
      <c r="X20" s="182">
        <v>18</v>
      </c>
      <c r="Y20" s="200"/>
      <c r="Z20" s="201"/>
      <c r="AA20" s="182"/>
      <c r="AB20" s="182"/>
      <c r="AC20" s="210"/>
      <c r="AD20" s="210"/>
      <c r="AE20" s="108">
        <f t="shared" si="2"/>
        <v>0</v>
      </c>
      <c r="AF20" s="182"/>
      <c r="AG20" s="216"/>
      <c r="AH20" s="202"/>
      <c r="AI20" s="203"/>
      <c r="AJ20" s="108">
        <f t="shared" si="6"/>
        <v>0</v>
      </c>
      <c r="AK20" s="301"/>
      <c r="AL20" s="124"/>
      <c r="AM20" s="124"/>
      <c r="AN20" s="22"/>
      <c r="AQ20" s="100"/>
      <c r="AR20" s="59"/>
      <c r="AS20" s="59"/>
      <c r="AT20" s="59"/>
      <c r="AU20" s="59"/>
      <c r="AV20" s="59"/>
      <c r="AW20" s="100"/>
    </row>
    <row r="21" spans="1:54" ht="19.5" thickBot="1" x14ac:dyDescent="0.35">
      <c r="A21" s="166">
        <v>44913</v>
      </c>
      <c r="B21" s="190"/>
      <c r="C21" s="179"/>
      <c r="D21" s="179"/>
      <c r="E21" s="175"/>
      <c r="F21" s="170">
        <f t="shared" si="3"/>
        <v>0</v>
      </c>
      <c r="G21" s="171">
        <f t="shared" si="4"/>
        <v>0</v>
      </c>
      <c r="H21" s="179"/>
      <c r="I21" s="191"/>
      <c r="J21" s="175"/>
      <c r="K21" s="192">
        <f t="shared" si="0"/>
        <v>0</v>
      </c>
      <c r="L21" s="193">
        <f t="shared" si="1"/>
        <v>0</v>
      </c>
      <c r="M21" s="174"/>
      <c r="N21" s="194"/>
      <c r="O21" s="195">
        <f t="shared" si="5"/>
        <v>268.89999999999998</v>
      </c>
      <c r="P21" s="196"/>
      <c r="Q21" s="218"/>
      <c r="R21" s="179"/>
      <c r="S21" s="180"/>
      <c r="T21" s="199"/>
      <c r="U21" s="124"/>
      <c r="V21" s="124"/>
      <c r="W21" s="135"/>
      <c r="X21" s="182">
        <v>19</v>
      </c>
      <c r="Y21" s="200"/>
      <c r="Z21" s="201"/>
      <c r="AA21" s="182"/>
      <c r="AB21" s="221"/>
      <c r="AC21" s="108"/>
      <c r="AD21" s="108"/>
      <c r="AE21" s="108">
        <f t="shared" si="2"/>
        <v>0</v>
      </c>
      <c r="AF21" s="182"/>
      <c r="AG21" s="182"/>
      <c r="AH21" s="202"/>
      <c r="AI21" s="203"/>
      <c r="AJ21" s="108">
        <f t="shared" si="6"/>
        <v>0</v>
      </c>
      <c r="AK21" s="301"/>
      <c r="AL21" s="124"/>
      <c r="AM21" s="124"/>
      <c r="AN21" s="22"/>
      <c r="AQ21" s="100"/>
      <c r="AR21" s="59"/>
      <c r="AS21" s="59"/>
      <c r="AT21" s="59"/>
      <c r="AU21" s="59"/>
      <c r="AV21" s="59"/>
      <c r="AW21" s="100"/>
    </row>
    <row r="22" spans="1:54" ht="19.5" thickBot="1" x14ac:dyDescent="0.35">
      <c r="A22" s="166">
        <v>44914</v>
      </c>
      <c r="B22" s="190"/>
      <c r="C22" s="179"/>
      <c r="D22" s="179"/>
      <c r="E22" s="175"/>
      <c r="F22" s="170">
        <f t="shared" si="3"/>
        <v>0</v>
      </c>
      <c r="G22" s="171">
        <f t="shared" si="4"/>
        <v>0</v>
      </c>
      <c r="H22" s="179"/>
      <c r="I22" s="191"/>
      <c r="J22" s="175"/>
      <c r="K22" s="192">
        <f t="shared" si="0"/>
        <v>0</v>
      </c>
      <c r="L22" s="193">
        <f t="shared" si="1"/>
        <v>0</v>
      </c>
      <c r="M22" s="174"/>
      <c r="N22" s="194"/>
      <c r="O22" s="195">
        <f t="shared" si="5"/>
        <v>268.89999999999998</v>
      </c>
      <c r="P22" s="196"/>
      <c r="Q22" s="218"/>
      <c r="R22" s="179"/>
      <c r="S22" s="180"/>
      <c r="T22" s="199"/>
      <c r="U22" s="124"/>
      <c r="V22" s="124"/>
      <c r="W22" s="135"/>
      <c r="X22" s="182">
        <v>20</v>
      </c>
      <c r="Y22" s="200"/>
      <c r="Z22" s="201"/>
      <c r="AA22" s="182"/>
      <c r="AB22" s="221"/>
      <c r="AC22" s="210"/>
      <c r="AD22" s="210"/>
      <c r="AE22" s="108">
        <f t="shared" si="2"/>
        <v>0</v>
      </c>
      <c r="AF22" s="182"/>
      <c r="AG22" s="182"/>
      <c r="AH22" s="202"/>
      <c r="AI22" s="203"/>
      <c r="AJ22" s="108">
        <f t="shared" si="6"/>
        <v>0</v>
      </c>
      <c r="AK22" s="301"/>
      <c r="AL22" s="124"/>
      <c r="AM22" s="124"/>
      <c r="AN22" s="16"/>
      <c r="AQ22" s="100"/>
      <c r="AR22" s="59"/>
      <c r="AS22" s="71"/>
      <c r="AT22" s="71"/>
      <c r="AU22" s="71"/>
      <c r="AV22" s="59"/>
      <c r="AW22" s="100"/>
    </row>
    <row r="23" spans="1:54" ht="19.5" thickBot="1" x14ac:dyDescent="0.35">
      <c r="A23" s="166">
        <v>44915</v>
      </c>
      <c r="B23" s="190"/>
      <c r="C23" s="179"/>
      <c r="D23" s="179"/>
      <c r="E23" s="175"/>
      <c r="F23" s="170">
        <f t="shared" si="3"/>
        <v>0</v>
      </c>
      <c r="G23" s="171">
        <f t="shared" si="4"/>
        <v>0</v>
      </c>
      <c r="H23" s="179"/>
      <c r="I23" s="191"/>
      <c r="J23" s="175"/>
      <c r="K23" s="192">
        <f t="shared" si="0"/>
        <v>0</v>
      </c>
      <c r="L23" s="193">
        <f t="shared" si="1"/>
        <v>0</v>
      </c>
      <c r="M23" s="174"/>
      <c r="N23" s="194"/>
      <c r="O23" s="195">
        <f t="shared" si="5"/>
        <v>268.89999999999998</v>
      </c>
      <c r="P23" s="196"/>
      <c r="Q23" s="211"/>
      <c r="R23" s="212"/>
      <c r="S23" s="180"/>
      <c r="T23" s="222"/>
      <c r="U23" s="124"/>
      <c r="V23" s="124"/>
      <c r="W23" s="135"/>
      <c r="X23" s="182">
        <v>21</v>
      </c>
      <c r="Y23" s="223"/>
      <c r="Z23" s="224"/>
      <c r="AA23" s="208"/>
      <c r="AB23" s="225"/>
      <c r="AC23" s="108"/>
      <c r="AD23" s="108"/>
      <c r="AE23" s="108">
        <f t="shared" si="2"/>
        <v>0</v>
      </c>
      <c r="AF23" s="208"/>
      <c r="AG23" s="226"/>
      <c r="AH23" s="202"/>
      <c r="AI23" s="203"/>
      <c r="AJ23" s="108">
        <f t="shared" si="6"/>
        <v>0</v>
      </c>
      <c r="AK23" s="301"/>
      <c r="AL23" s="124"/>
      <c r="AM23" s="124"/>
      <c r="AN23" s="16"/>
      <c r="AQ23" s="100"/>
      <c r="AR23" s="100"/>
      <c r="AS23" s="100"/>
      <c r="AT23" s="100"/>
      <c r="AU23" s="100"/>
      <c r="AV23" s="100"/>
      <c r="AW23" s="100"/>
    </row>
    <row r="24" spans="1:54" ht="19.5" thickBot="1" x14ac:dyDescent="0.35">
      <c r="A24" s="166">
        <v>44916</v>
      </c>
      <c r="B24" s="190"/>
      <c r="C24" s="179"/>
      <c r="D24" s="179"/>
      <c r="E24" s="175"/>
      <c r="F24" s="170">
        <f t="shared" si="3"/>
        <v>0</v>
      </c>
      <c r="G24" s="171">
        <f t="shared" si="4"/>
        <v>0</v>
      </c>
      <c r="H24" s="179"/>
      <c r="I24" s="191"/>
      <c r="J24" s="175"/>
      <c r="K24" s="192">
        <f t="shared" si="0"/>
        <v>0</v>
      </c>
      <c r="L24" s="193">
        <f t="shared" si="1"/>
        <v>0</v>
      </c>
      <c r="M24" s="209"/>
      <c r="N24" s="194"/>
      <c r="O24" s="195">
        <f>SUM(L24-M24-N24+O23+P24)</f>
        <v>268.89999999999998</v>
      </c>
      <c r="P24" s="196"/>
      <c r="Q24" s="211"/>
      <c r="R24" s="212"/>
      <c r="S24" s="180"/>
      <c r="T24" s="222"/>
      <c r="U24" s="124"/>
      <c r="V24" s="124"/>
      <c r="W24" s="135"/>
      <c r="X24" s="182">
        <v>22</v>
      </c>
      <c r="Y24" s="200"/>
      <c r="Z24" s="201"/>
      <c r="AA24" s="182"/>
      <c r="AB24" s="227"/>
      <c r="AC24" s="210"/>
      <c r="AD24" s="210"/>
      <c r="AE24" s="108">
        <f t="shared" si="2"/>
        <v>0</v>
      </c>
      <c r="AF24" s="182"/>
      <c r="AG24" s="226"/>
      <c r="AH24" s="202"/>
      <c r="AI24" s="203"/>
      <c r="AJ24" s="108">
        <f t="shared" si="6"/>
        <v>0</v>
      </c>
      <c r="AK24" s="301"/>
      <c r="AL24" s="124"/>
      <c r="AM24" s="124"/>
      <c r="AN24" s="16"/>
    </row>
    <row r="25" spans="1:54" ht="19.5" thickBot="1" x14ac:dyDescent="0.35">
      <c r="A25" s="166">
        <v>44917</v>
      </c>
      <c r="B25" s="190"/>
      <c r="C25" s="179"/>
      <c r="D25" s="179"/>
      <c r="E25" s="175"/>
      <c r="F25" s="170">
        <f t="shared" si="3"/>
        <v>0</v>
      </c>
      <c r="G25" s="171">
        <f t="shared" si="4"/>
        <v>0</v>
      </c>
      <c r="H25" s="179"/>
      <c r="I25" s="191"/>
      <c r="J25" s="175"/>
      <c r="K25" s="192">
        <f t="shared" si="0"/>
        <v>0</v>
      </c>
      <c r="L25" s="193">
        <f t="shared" si="1"/>
        <v>0</v>
      </c>
      <c r="M25" s="174"/>
      <c r="N25" s="194"/>
      <c r="O25" s="195">
        <f t="shared" si="5"/>
        <v>268.89999999999998</v>
      </c>
      <c r="P25" s="196"/>
      <c r="Q25" s="178"/>
      <c r="R25" s="179"/>
      <c r="S25" s="180"/>
      <c r="T25" s="181"/>
      <c r="U25" s="124"/>
      <c r="V25" s="124"/>
      <c r="W25" s="135"/>
      <c r="X25" s="182">
        <v>26</v>
      </c>
      <c r="Y25" s="223"/>
      <c r="Z25" s="224"/>
      <c r="AA25" s="208"/>
      <c r="AB25" s="228"/>
      <c r="AC25" s="210"/>
      <c r="AD25" s="210"/>
      <c r="AE25" s="108">
        <f t="shared" si="2"/>
        <v>0</v>
      </c>
      <c r="AF25" s="208"/>
      <c r="AG25" s="226"/>
      <c r="AH25" s="202"/>
      <c r="AI25" s="203"/>
      <c r="AJ25" s="108">
        <f t="shared" si="6"/>
        <v>0</v>
      </c>
      <c r="AK25" s="301"/>
      <c r="AL25" s="124"/>
      <c r="AM25" s="124"/>
      <c r="AN25" s="16"/>
      <c r="AW25" s="2"/>
    </row>
    <row r="26" spans="1:54" ht="19.5" thickBot="1" x14ac:dyDescent="0.35">
      <c r="A26" s="166">
        <v>44918</v>
      </c>
      <c r="B26" s="190"/>
      <c r="C26" s="179"/>
      <c r="D26" s="179"/>
      <c r="E26" s="175"/>
      <c r="F26" s="170">
        <f t="shared" si="3"/>
        <v>0</v>
      </c>
      <c r="G26" s="171">
        <f t="shared" si="4"/>
        <v>0</v>
      </c>
      <c r="H26" s="179"/>
      <c r="I26" s="191"/>
      <c r="J26" s="175"/>
      <c r="K26" s="192">
        <f t="shared" si="0"/>
        <v>0</v>
      </c>
      <c r="L26" s="193">
        <f t="shared" si="1"/>
        <v>0</v>
      </c>
      <c r="M26" s="174"/>
      <c r="N26" s="194"/>
      <c r="O26" s="195">
        <f t="shared" si="5"/>
        <v>268.89999999999998</v>
      </c>
      <c r="P26" s="196"/>
      <c r="Q26" s="178"/>
      <c r="R26" s="179"/>
      <c r="S26" s="180"/>
      <c r="T26" s="222"/>
      <c r="U26" s="124"/>
      <c r="V26" s="124"/>
      <c r="W26" s="135"/>
      <c r="X26" s="182">
        <v>27</v>
      </c>
      <c r="Y26" s="223"/>
      <c r="Z26" s="224"/>
      <c r="AA26" s="208"/>
      <c r="AB26" s="228"/>
      <c r="AC26" s="210"/>
      <c r="AD26" s="210"/>
      <c r="AE26" s="108">
        <f t="shared" si="2"/>
        <v>0</v>
      </c>
      <c r="AF26" s="208"/>
      <c r="AG26" s="226"/>
      <c r="AH26" s="202"/>
      <c r="AI26" s="203"/>
      <c r="AJ26" s="108">
        <f t="shared" si="6"/>
        <v>0</v>
      </c>
      <c r="AK26" s="301"/>
      <c r="AL26" s="124"/>
      <c r="AM26" s="124"/>
      <c r="AN26" s="16"/>
      <c r="AW26" s="2"/>
      <c r="AY26" s="2"/>
    </row>
    <row r="27" spans="1:54" ht="19.5" thickBot="1" x14ac:dyDescent="0.35">
      <c r="A27" s="166">
        <v>44919</v>
      </c>
      <c r="B27" s="190"/>
      <c r="C27" s="179"/>
      <c r="D27" s="179"/>
      <c r="E27" s="175"/>
      <c r="F27" s="170">
        <f t="shared" si="3"/>
        <v>0</v>
      </c>
      <c r="G27" s="171">
        <f t="shared" si="4"/>
        <v>0</v>
      </c>
      <c r="H27" s="179"/>
      <c r="I27" s="191"/>
      <c r="J27" s="175"/>
      <c r="K27" s="192">
        <f t="shared" si="0"/>
        <v>0</v>
      </c>
      <c r="L27" s="193">
        <f t="shared" si="1"/>
        <v>0</v>
      </c>
      <c r="M27" s="209"/>
      <c r="N27" s="194"/>
      <c r="O27" s="195">
        <f t="shared" si="5"/>
        <v>268.89999999999998</v>
      </c>
      <c r="P27" s="196"/>
      <c r="Q27" s="178"/>
      <c r="R27" s="179"/>
      <c r="S27" s="180"/>
      <c r="T27" s="222"/>
      <c r="U27" s="124"/>
      <c r="V27" s="124"/>
      <c r="W27" s="135"/>
      <c r="X27" s="182">
        <v>28</v>
      </c>
      <c r="Y27" s="200"/>
      <c r="Z27" s="201"/>
      <c r="AA27" s="182"/>
      <c r="AB27" s="182"/>
      <c r="AC27" s="210"/>
      <c r="AD27" s="210"/>
      <c r="AE27" s="108">
        <f t="shared" si="2"/>
        <v>0</v>
      </c>
      <c r="AF27" s="182"/>
      <c r="AG27" s="182"/>
      <c r="AH27" s="202"/>
      <c r="AI27" s="203"/>
      <c r="AJ27" s="108">
        <f t="shared" si="6"/>
        <v>0</v>
      </c>
      <c r="AK27" s="301"/>
      <c r="AL27" s="124"/>
      <c r="AM27" s="124"/>
      <c r="AN27" s="16"/>
      <c r="AR27" s="2"/>
      <c r="AS27" s="2"/>
      <c r="AT27" s="2"/>
      <c r="AU27" s="2"/>
      <c r="AV27" s="2"/>
      <c r="AW27" s="2"/>
      <c r="AY27" s="2"/>
      <c r="AZ27" s="2"/>
      <c r="BA27" s="2"/>
      <c r="BB27" s="2"/>
    </row>
    <row r="28" spans="1:54" ht="19.5" thickBot="1" x14ac:dyDescent="0.35">
      <c r="A28" s="166">
        <v>44920</v>
      </c>
      <c r="B28" s="190"/>
      <c r="C28" s="179"/>
      <c r="D28" s="179"/>
      <c r="E28" s="175"/>
      <c r="F28" s="170">
        <f t="shared" si="3"/>
        <v>0</v>
      </c>
      <c r="G28" s="171">
        <f t="shared" si="4"/>
        <v>0</v>
      </c>
      <c r="H28" s="179"/>
      <c r="I28" s="191"/>
      <c r="J28" s="175"/>
      <c r="K28" s="192">
        <f t="shared" si="0"/>
        <v>0</v>
      </c>
      <c r="L28" s="193">
        <f t="shared" si="1"/>
        <v>0</v>
      </c>
      <c r="M28" s="174"/>
      <c r="N28" s="194"/>
      <c r="O28" s="195">
        <f>SUM(L28-M28-N28+O27+P28)</f>
        <v>268.89999999999998</v>
      </c>
      <c r="P28" s="196"/>
      <c r="Q28" s="178"/>
      <c r="R28" s="179"/>
      <c r="S28" s="180"/>
      <c r="T28" s="222"/>
      <c r="U28" s="124"/>
      <c r="V28" s="124"/>
      <c r="W28" s="135"/>
      <c r="X28" s="182">
        <v>29</v>
      </c>
      <c r="Y28" s="200"/>
      <c r="Z28" s="201"/>
      <c r="AA28" s="182"/>
      <c r="AB28" s="182"/>
      <c r="AC28" s="210"/>
      <c r="AD28" s="210"/>
      <c r="AE28" s="108">
        <f t="shared" si="2"/>
        <v>0</v>
      </c>
      <c r="AF28" s="182"/>
      <c r="AG28" s="182"/>
      <c r="AH28" s="202"/>
      <c r="AI28" s="203"/>
      <c r="AJ28" s="108">
        <f t="shared" si="6"/>
        <v>0</v>
      </c>
      <c r="AK28" s="163"/>
      <c r="AL28" s="124"/>
      <c r="AM28" s="124"/>
      <c r="AN28" s="16"/>
      <c r="AR28" s="92"/>
      <c r="AS28" s="11"/>
      <c r="AT28" s="11"/>
      <c r="AU28" s="11"/>
      <c r="AV28" s="2"/>
      <c r="AW28" s="2"/>
      <c r="AY28" s="2"/>
      <c r="AZ28" s="2"/>
      <c r="BA28" s="12"/>
      <c r="BB28" s="2"/>
    </row>
    <row r="29" spans="1:54" ht="19.5" thickBot="1" x14ac:dyDescent="0.35">
      <c r="A29" s="166">
        <v>44921</v>
      </c>
      <c r="B29" s="190"/>
      <c r="C29" s="179"/>
      <c r="D29" s="179"/>
      <c r="E29" s="175"/>
      <c r="F29" s="170">
        <f t="shared" si="3"/>
        <v>0</v>
      </c>
      <c r="G29" s="171">
        <f t="shared" si="4"/>
        <v>0</v>
      </c>
      <c r="H29" s="179"/>
      <c r="I29" s="191"/>
      <c r="J29" s="175"/>
      <c r="K29" s="192">
        <f t="shared" si="0"/>
        <v>0</v>
      </c>
      <c r="L29" s="193">
        <f t="shared" si="1"/>
        <v>0</v>
      </c>
      <c r="M29" s="174"/>
      <c r="N29" s="194"/>
      <c r="O29" s="195">
        <f t="shared" si="5"/>
        <v>268.89999999999998</v>
      </c>
      <c r="P29" s="135"/>
      <c r="Q29" s="178"/>
      <c r="R29" s="179"/>
      <c r="S29" s="180"/>
      <c r="T29" s="222"/>
      <c r="U29" s="124"/>
      <c r="V29" s="124"/>
      <c r="W29" s="135"/>
      <c r="X29" s="182">
        <v>30</v>
      </c>
      <c r="Y29" s="200"/>
      <c r="Z29" s="201"/>
      <c r="AA29" s="182"/>
      <c r="AB29" s="182"/>
      <c r="AC29" s="108"/>
      <c r="AD29" s="108"/>
      <c r="AE29" s="108">
        <f t="shared" si="2"/>
        <v>0</v>
      </c>
      <c r="AF29" s="182"/>
      <c r="AG29" s="182"/>
      <c r="AH29" s="202"/>
      <c r="AI29" s="203"/>
      <c r="AJ29" s="108">
        <f t="shared" si="6"/>
        <v>0</v>
      </c>
      <c r="AK29" s="163"/>
      <c r="AL29" s="124"/>
      <c r="AM29" s="124"/>
      <c r="AN29" s="22"/>
      <c r="AR29" s="92"/>
      <c r="AS29" s="11"/>
      <c r="AT29" s="11"/>
      <c r="AU29" s="11"/>
      <c r="AV29" s="2"/>
      <c r="AW29" s="2"/>
      <c r="AY29" s="12"/>
      <c r="AZ29" s="2"/>
      <c r="BA29" s="12"/>
      <c r="BB29" s="2"/>
    </row>
    <row r="30" spans="1:54" ht="19.5" thickBot="1" x14ac:dyDescent="0.35">
      <c r="A30" s="166">
        <v>44922</v>
      </c>
      <c r="B30" s="229"/>
      <c r="C30" s="179"/>
      <c r="D30" s="179"/>
      <c r="E30" s="175"/>
      <c r="F30" s="170">
        <f t="shared" si="3"/>
        <v>0</v>
      </c>
      <c r="G30" s="171">
        <f t="shared" si="4"/>
        <v>0</v>
      </c>
      <c r="H30" s="179"/>
      <c r="I30" s="191"/>
      <c r="J30" s="175"/>
      <c r="K30" s="192">
        <f t="shared" si="0"/>
        <v>0</v>
      </c>
      <c r="L30" s="193">
        <f t="shared" si="1"/>
        <v>0</v>
      </c>
      <c r="M30" s="209"/>
      <c r="N30" s="194"/>
      <c r="O30" s="195">
        <f>SUM(L30-M30-N30+O29+P30)</f>
        <v>268.89999999999998</v>
      </c>
      <c r="P30" s="135"/>
      <c r="Q30" s="178"/>
      <c r="R30" s="179"/>
      <c r="S30" s="230"/>
      <c r="T30" s="222"/>
      <c r="U30" s="124"/>
      <c r="V30" s="124"/>
      <c r="W30" s="135"/>
      <c r="X30" s="24"/>
      <c r="Y30" s="160"/>
      <c r="Z30" s="161"/>
      <c r="AA30" s="24"/>
      <c r="AB30" s="24"/>
      <c r="AC30" s="231" t="s">
        <v>16</v>
      </c>
      <c r="AD30" s="231">
        <f>SUM(AD3:AD29)</f>
        <v>0</v>
      </c>
      <c r="AE30" s="163"/>
      <c r="AF30" s="232"/>
      <c r="AG30" s="24"/>
      <c r="AH30" s="233"/>
      <c r="AI30" s="165"/>
      <c r="AJ30" s="163"/>
      <c r="AK30" s="163"/>
      <c r="AL30" s="124"/>
      <c r="AM30" s="124"/>
      <c r="AN30" s="22"/>
      <c r="AR30" s="92"/>
      <c r="AS30" s="11"/>
      <c r="AT30" s="11"/>
      <c r="AU30" s="11"/>
      <c r="AV30" s="2"/>
      <c r="AW30" s="2"/>
      <c r="AY30" s="12"/>
      <c r="AZ30" s="2"/>
      <c r="BA30" s="12"/>
      <c r="BB30" s="2"/>
    </row>
    <row r="31" spans="1:54" ht="19.5" thickBot="1" x14ac:dyDescent="0.35">
      <c r="A31" s="166">
        <v>44923</v>
      </c>
      <c r="B31" s="234"/>
      <c r="C31" s="235"/>
      <c r="D31" s="236"/>
      <c r="E31" s="175"/>
      <c r="F31" s="170">
        <f t="shared" si="3"/>
        <v>0</v>
      </c>
      <c r="G31" s="171">
        <f t="shared" si="4"/>
        <v>0</v>
      </c>
      <c r="H31" s="179"/>
      <c r="I31" s="191"/>
      <c r="J31" s="237"/>
      <c r="K31" s="192">
        <f t="shared" si="0"/>
        <v>0</v>
      </c>
      <c r="L31" s="193">
        <f t="shared" si="1"/>
        <v>0</v>
      </c>
      <c r="M31" s="174"/>
      <c r="N31" s="194"/>
      <c r="O31" s="238">
        <f t="shared" si="5"/>
        <v>268.89999999999998</v>
      </c>
      <c r="P31" s="239" t="s">
        <v>9</v>
      </c>
      <c r="Q31" s="178"/>
      <c r="R31" s="179"/>
      <c r="S31" s="230"/>
      <c r="T31" s="222"/>
      <c r="U31" s="124"/>
      <c r="V31" s="124"/>
      <c r="W31" s="135"/>
      <c r="X31" s="24"/>
      <c r="Y31" s="160"/>
      <c r="Z31" s="161"/>
      <c r="AA31" s="24"/>
      <c r="AB31" s="24"/>
      <c r="AC31" s="163"/>
      <c r="AD31" s="163"/>
      <c r="AE31" s="163"/>
      <c r="AF31" s="24"/>
      <c r="AG31" s="24"/>
      <c r="AH31" s="233"/>
      <c r="AI31" s="165"/>
      <c r="AJ31" s="163"/>
      <c r="AK31" s="301"/>
      <c r="AL31" s="124"/>
      <c r="AM31" s="124"/>
      <c r="AN31" s="22"/>
      <c r="AR31" s="92"/>
      <c r="AS31" s="11"/>
      <c r="AT31" s="11"/>
      <c r="AU31" s="11"/>
      <c r="AV31" s="2"/>
      <c r="AW31" s="2"/>
      <c r="AY31" s="2"/>
      <c r="AZ31" s="2"/>
      <c r="BA31" s="12"/>
      <c r="BB31" s="2"/>
    </row>
    <row r="32" spans="1:54" ht="19.5" thickBot="1" x14ac:dyDescent="0.35">
      <c r="A32" s="166">
        <v>44924</v>
      </c>
      <c r="B32" s="190"/>
      <c r="C32" s="179"/>
      <c r="D32" s="179"/>
      <c r="E32" s="175"/>
      <c r="F32" s="170">
        <f t="shared" si="3"/>
        <v>0</v>
      </c>
      <c r="G32" s="171">
        <f t="shared" si="4"/>
        <v>0</v>
      </c>
      <c r="H32" s="179"/>
      <c r="I32" s="191"/>
      <c r="J32" s="175"/>
      <c r="K32" s="192">
        <f t="shared" si="0"/>
        <v>0</v>
      </c>
      <c r="L32" s="193">
        <f t="shared" si="1"/>
        <v>0</v>
      </c>
      <c r="M32" s="240"/>
      <c r="N32" s="194"/>
      <c r="O32" s="238">
        <f t="shared" si="5"/>
        <v>268.89999999999998</v>
      </c>
      <c r="P32" s="241" t="s">
        <v>10</v>
      </c>
      <c r="Q32" s="242"/>
      <c r="R32" s="179"/>
      <c r="S32" s="230"/>
      <c r="T32" s="222"/>
      <c r="U32" s="124"/>
      <c r="V32" s="124"/>
      <c r="W32" s="135"/>
      <c r="X32" s="24"/>
      <c r="Y32" s="160"/>
      <c r="Z32" s="161"/>
      <c r="AA32" s="182" t="s">
        <v>17</v>
      </c>
      <c r="AB32" s="24"/>
      <c r="AC32" s="244"/>
      <c r="AD32" s="244"/>
      <c r="AE32" s="163"/>
      <c r="AF32" s="24"/>
      <c r="AG32" s="24"/>
      <c r="AH32" s="233"/>
      <c r="AI32" s="165"/>
      <c r="AJ32" s="163"/>
      <c r="AK32" s="163"/>
      <c r="AL32" s="303" t="s">
        <v>31</v>
      </c>
      <c r="AM32" s="304"/>
      <c r="AN32" s="36"/>
      <c r="AR32" s="2"/>
      <c r="AS32" s="11"/>
      <c r="AT32" s="11"/>
      <c r="AU32" s="11"/>
      <c r="AV32" s="2"/>
      <c r="AW32" s="2"/>
      <c r="AY32" s="2"/>
      <c r="AZ32" s="2"/>
      <c r="BA32" s="2"/>
      <c r="BB32" s="2"/>
    </row>
    <row r="33" spans="1:54" ht="19.5" thickBot="1" x14ac:dyDescent="0.35">
      <c r="A33" s="166">
        <v>44925</v>
      </c>
      <c r="B33" s="245"/>
      <c r="C33" s="246"/>
      <c r="D33" s="246"/>
      <c r="E33" s="247"/>
      <c r="F33" s="170">
        <f t="shared" si="3"/>
        <v>0</v>
      </c>
      <c r="G33" s="171">
        <f t="shared" si="4"/>
        <v>0</v>
      </c>
      <c r="H33" s="248"/>
      <c r="I33" s="248"/>
      <c r="J33" s="247"/>
      <c r="K33" s="249">
        <f t="shared" si="0"/>
        <v>0</v>
      </c>
      <c r="L33" s="250">
        <f t="shared" si="1"/>
        <v>0</v>
      </c>
      <c r="M33" s="251"/>
      <c r="N33" s="252"/>
      <c r="O33" s="253">
        <f t="shared" si="5"/>
        <v>268.89999999999998</v>
      </c>
      <c r="P33" s="254">
        <f>SUM(O33)</f>
        <v>268.89999999999998</v>
      </c>
      <c r="Q33" s="255"/>
      <c r="R33" s="246"/>
      <c r="S33" s="256"/>
      <c r="T33" s="257"/>
      <c r="U33" s="124"/>
      <c r="V33" s="124"/>
      <c r="W33" s="135"/>
      <c r="X33" s="182">
        <v>1</v>
      </c>
      <c r="Y33" s="200"/>
      <c r="Z33" s="201"/>
      <c r="AA33" s="182"/>
      <c r="AB33" s="182"/>
      <c r="AC33" s="258"/>
      <c r="AD33" s="210"/>
      <c r="AE33" s="108">
        <f t="shared" ref="AE33:AE62" si="7">SUM(AC33:AD33)</f>
        <v>0</v>
      </c>
      <c r="AF33" s="182"/>
      <c r="AG33" s="182"/>
      <c r="AH33" s="202"/>
      <c r="AI33" s="203"/>
      <c r="AJ33" s="108">
        <v>0</v>
      </c>
      <c r="AK33" s="163"/>
      <c r="AL33" s="258">
        <f t="shared" ref="AL33:AL63" si="8">AC33</f>
        <v>0</v>
      </c>
      <c r="AM33" s="305">
        <v>1</v>
      </c>
      <c r="AN33" s="16"/>
      <c r="AR33" s="92"/>
      <c r="AS33" s="11"/>
      <c r="AT33" s="11"/>
      <c r="AU33" s="11"/>
      <c r="AV33" s="2"/>
      <c r="AW33" s="2"/>
      <c r="AY33" s="2"/>
      <c r="AZ33" s="2"/>
      <c r="BA33" s="2"/>
      <c r="BB33" s="2"/>
    </row>
    <row r="34" spans="1:54" ht="19.5" thickBot="1" x14ac:dyDescent="0.35">
      <c r="A34" s="124"/>
      <c r="B34" s="259">
        <f>SUM(B5:B33)</f>
        <v>0</v>
      </c>
      <c r="C34" s="260">
        <f t="shared" ref="C34:N34" si="9">SUM(C3:C33)</f>
        <v>0</v>
      </c>
      <c r="D34" s="261">
        <f t="shared" si="9"/>
        <v>0</v>
      </c>
      <c r="E34" s="261">
        <f t="shared" si="9"/>
        <v>0</v>
      </c>
      <c r="F34" s="262">
        <f t="shared" si="9"/>
        <v>0</v>
      </c>
      <c r="G34" s="263"/>
      <c r="H34" s="263">
        <f>SUM(H3:H33)</f>
        <v>0</v>
      </c>
      <c r="I34" s="263"/>
      <c r="J34" s="263">
        <f t="shared" si="9"/>
        <v>0</v>
      </c>
      <c r="K34" s="264">
        <f t="shared" si="9"/>
        <v>0</v>
      </c>
      <c r="L34" s="265">
        <f t="shared" si="9"/>
        <v>0</v>
      </c>
      <c r="M34" s="266">
        <f t="shared" si="9"/>
        <v>0</v>
      </c>
      <c r="N34" s="267">
        <f t="shared" si="9"/>
        <v>0</v>
      </c>
      <c r="O34" s="135"/>
      <c r="P34" s="135"/>
      <c r="Q34" s="124"/>
      <c r="R34" s="135"/>
      <c r="S34" s="124"/>
      <c r="T34" s="124"/>
      <c r="U34" s="124"/>
      <c r="V34" s="124"/>
      <c r="W34" s="135"/>
      <c r="X34" s="182">
        <v>2</v>
      </c>
      <c r="Y34" s="217"/>
      <c r="Z34" s="201"/>
      <c r="AA34" s="182"/>
      <c r="AB34" s="182"/>
      <c r="AC34" s="258"/>
      <c r="AD34" s="210"/>
      <c r="AE34" s="108">
        <f t="shared" si="7"/>
        <v>0</v>
      </c>
      <c r="AF34" s="182"/>
      <c r="AG34" s="216"/>
      <c r="AH34" s="202"/>
      <c r="AI34" s="203"/>
      <c r="AJ34" s="108">
        <f>AE34</f>
        <v>0</v>
      </c>
      <c r="AK34" s="163"/>
      <c r="AL34" s="258">
        <f t="shared" si="8"/>
        <v>0</v>
      </c>
      <c r="AM34" s="221">
        <v>2</v>
      </c>
      <c r="AN34" s="16"/>
      <c r="AR34" s="2"/>
      <c r="AS34" s="11"/>
      <c r="AT34" s="11"/>
      <c r="AU34" s="11"/>
      <c r="AV34" s="2"/>
      <c r="AW34" s="2"/>
      <c r="AY34" s="2"/>
      <c r="AZ34" s="2"/>
      <c r="BA34" s="2"/>
      <c r="BB34" s="2"/>
    </row>
    <row r="35" spans="1:54" ht="19.5" thickBot="1" x14ac:dyDescent="0.35">
      <c r="A35" s="269" t="s">
        <v>15</v>
      </c>
      <c r="B35" s="270">
        <f>SUM(B3:B33)</f>
        <v>0</v>
      </c>
      <c r="C35" s="270">
        <f>SUM(C34/1.06)</f>
        <v>0</v>
      </c>
      <c r="D35" s="270">
        <f>SUM(D34/1.12)</f>
        <v>0</v>
      </c>
      <c r="E35" s="270">
        <f>SUM(E34/1.21)</f>
        <v>0</v>
      </c>
      <c r="F35" s="270">
        <f>SUM(B35:E35)</f>
        <v>0</v>
      </c>
      <c r="G35" s="271">
        <f>SUM(G34:G34)</f>
        <v>0</v>
      </c>
      <c r="H35" s="135"/>
      <c r="I35" s="135"/>
      <c r="J35" s="179"/>
      <c r="K35" s="272"/>
      <c r="L35" s="273" t="s">
        <v>82</v>
      </c>
      <c r="M35" s="274"/>
      <c r="N35" s="275">
        <f>SUM(M34:N34)</f>
        <v>0</v>
      </c>
      <c r="O35" s="135"/>
      <c r="P35" s="135"/>
      <c r="Q35" s="124"/>
      <c r="R35" s="135"/>
      <c r="S35" s="124"/>
      <c r="T35" s="124"/>
      <c r="U35" s="124"/>
      <c r="V35" s="124"/>
      <c r="W35" s="135"/>
      <c r="X35" s="182">
        <v>3</v>
      </c>
      <c r="Y35" s="200"/>
      <c r="Z35" s="201"/>
      <c r="AA35" s="182"/>
      <c r="AB35" s="182"/>
      <c r="AC35" s="258"/>
      <c r="AD35" s="210"/>
      <c r="AE35" s="108">
        <f t="shared" si="7"/>
        <v>0</v>
      </c>
      <c r="AF35" s="182"/>
      <c r="AG35" s="182"/>
      <c r="AH35" s="202"/>
      <c r="AI35" s="203"/>
      <c r="AJ35" s="108">
        <f>AE35</f>
        <v>0</v>
      </c>
      <c r="AK35" s="163"/>
      <c r="AL35" s="258">
        <f t="shared" si="8"/>
        <v>0</v>
      </c>
      <c r="AM35" s="221">
        <v>3</v>
      </c>
      <c r="AN35" s="16"/>
      <c r="AR35" s="2"/>
      <c r="AS35" s="11"/>
      <c r="AT35" s="11"/>
      <c r="AU35" s="11"/>
      <c r="AV35" s="12"/>
      <c r="AW35" s="2"/>
      <c r="AY35" s="2"/>
      <c r="AZ35" s="2"/>
      <c r="BA35" s="2"/>
      <c r="BB35" s="2"/>
    </row>
    <row r="36" spans="1:54" ht="18.75" x14ac:dyDescent="0.3">
      <c r="A36" s="269" t="s">
        <v>16</v>
      </c>
      <c r="B36" s="276"/>
      <c r="C36" s="270">
        <f>SUM(C34-C35)</f>
        <v>0</v>
      </c>
      <c r="D36" s="270">
        <f>SUM(D34-D35)</f>
        <v>0</v>
      </c>
      <c r="E36" s="270">
        <f>SUM(E34-E35)</f>
        <v>0</v>
      </c>
      <c r="F36" s="270">
        <f>SUM(C36:E36)</f>
        <v>0</v>
      </c>
      <c r="G36" s="135"/>
      <c r="H36" s="135"/>
      <c r="I36" s="135"/>
      <c r="J36" s="135"/>
      <c r="K36" s="135"/>
      <c r="L36" s="135"/>
      <c r="M36" s="135"/>
      <c r="N36" s="135"/>
      <c r="O36" s="135"/>
      <c r="P36" s="135"/>
      <c r="Q36" s="124"/>
      <c r="R36" s="135"/>
      <c r="S36" s="124"/>
      <c r="T36" s="124"/>
      <c r="U36" s="124"/>
      <c r="V36" s="124"/>
      <c r="W36" s="135"/>
      <c r="X36" s="182">
        <v>4</v>
      </c>
      <c r="Y36" s="200"/>
      <c r="Z36" s="201"/>
      <c r="AA36" s="182"/>
      <c r="AB36" s="182"/>
      <c r="AC36" s="277"/>
      <c r="AD36" s="108"/>
      <c r="AE36" s="108">
        <f t="shared" si="7"/>
        <v>0</v>
      </c>
      <c r="AF36" s="182"/>
      <c r="AG36" s="182"/>
      <c r="AH36" s="202"/>
      <c r="AI36" s="203"/>
      <c r="AJ36" s="108">
        <v>0</v>
      </c>
      <c r="AK36" s="306"/>
      <c r="AL36" s="258">
        <f t="shared" si="8"/>
        <v>0</v>
      </c>
      <c r="AM36" s="221">
        <v>4</v>
      </c>
      <c r="AN36" s="16"/>
      <c r="AR36" s="12"/>
      <c r="AS36" s="11"/>
      <c r="AT36" s="11"/>
      <c r="AU36" s="11"/>
      <c r="AV36" s="12"/>
      <c r="AW36" s="2"/>
      <c r="AY36" s="2"/>
      <c r="AZ36" s="2"/>
      <c r="BA36" s="2"/>
      <c r="BB36" s="2"/>
    </row>
    <row r="37" spans="1:54" ht="18.75" x14ac:dyDescent="0.3">
      <c r="A37" s="124"/>
      <c r="B37" s="124"/>
      <c r="C37" s="124"/>
      <c r="D37" s="124"/>
      <c r="E37" s="124"/>
      <c r="F37" s="124"/>
      <c r="G37" s="124"/>
      <c r="H37" s="124"/>
      <c r="I37" s="124"/>
      <c r="J37" s="124"/>
      <c r="K37" s="124"/>
      <c r="L37" s="124"/>
      <c r="M37" s="124"/>
      <c r="N37" s="124"/>
      <c r="O37" s="124"/>
      <c r="P37" s="124"/>
      <c r="Q37" s="159"/>
      <c r="R37" s="135"/>
      <c r="S37" s="124"/>
      <c r="T37" s="124"/>
      <c r="U37" s="124"/>
      <c r="V37" s="124"/>
      <c r="W37" s="135"/>
      <c r="X37" s="182">
        <v>5</v>
      </c>
      <c r="Y37" s="217"/>
      <c r="Z37" s="201"/>
      <c r="AA37" s="182"/>
      <c r="AB37" s="221"/>
      <c r="AC37" s="258"/>
      <c r="AD37" s="210"/>
      <c r="AE37" s="108">
        <f t="shared" si="7"/>
        <v>0</v>
      </c>
      <c r="AF37" s="182"/>
      <c r="AG37" s="216"/>
      <c r="AH37" s="202"/>
      <c r="AI37" s="203"/>
      <c r="AJ37" s="108">
        <f>AE37</f>
        <v>0</v>
      </c>
      <c r="AK37" s="301"/>
      <c r="AL37" s="258">
        <f t="shared" si="8"/>
        <v>0</v>
      </c>
      <c r="AM37" s="221">
        <v>5</v>
      </c>
      <c r="AN37" s="22"/>
      <c r="AR37" s="12"/>
      <c r="AS37" s="11"/>
      <c r="AT37" s="11"/>
      <c r="AU37" s="11"/>
      <c r="AV37" s="12"/>
      <c r="AW37" s="2"/>
    </row>
    <row r="38" spans="1:54" ht="18.75" x14ac:dyDescent="0.3">
      <c r="A38" s="124"/>
      <c r="B38" s="124"/>
      <c r="C38" s="124"/>
      <c r="D38" s="124"/>
      <c r="E38" s="124"/>
      <c r="F38" s="124"/>
      <c r="G38" s="124"/>
      <c r="H38" s="124"/>
      <c r="I38" s="124"/>
      <c r="J38" s="124"/>
      <c r="K38" s="124"/>
      <c r="L38" s="124"/>
      <c r="M38" s="124"/>
      <c r="N38" s="124"/>
      <c r="O38" s="124"/>
      <c r="P38" s="124"/>
      <c r="Q38" s="124"/>
      <c r="R38" s="135"/>
      <c r="S38" s="124"/>
      <c r="T38" s="124"/>
      <c r="U38" s="124"/>
      <c r="V38" s="124"/>
      <c r="W38" s="135"/>
      <c r="X38" s="182">
        <v>6</v>
      </c>
      <c r="Y38" s="200"/>
      <c r="Z38" s="201"/>
      <c r="AA38" s="182"/>
      <c r="AB38" s="182"/>
      <c r="AC38" s="277"/>
      <c r="AD38" s="108"/>
      <c r="AE38" s="108">
        <f t="shared" si="7"/>
        <v>0</v>
      </c>
      <c r="AF38" s="182"/>
      <c r="AG38" s="216"/>
      <c r="AH38" s="202"/>
      <c r="AI38" s="203"/>
      <c r="AJ38" s="108">
        <v>0</v>
      </c>
      <c r="AK38" s="301"/>
      <c r="AL38" s="258">
        <f t="shared" si="8"/>
        <v>0</v>
      </c>
      <c r="AM38" s="221">
        <v>6</v>
      </c>
      <c r="AN38" s="16"/>
      <c r="AR38" s="2"/>
      <c r="AS38" s="11"/>
      <c r="AT38" s="11"/>
      <c r="AU38" s="11"/>
      <c r="AV38" s="12"/>
      <c r="AW38" s="2"/>
      <c r="BA38" s="7"/>
    </row>
    <row r="39" spans="1:54" ht="18.75" x14ac:dyDescent="0.3">
      <c r="A39" s="124"/>
      <c r="B39" s="124"/>
      <c r="C39" s="124"/>
      <c r="D39" s="124"/>
      <c r="E39" s="124"/>
      <c r="F39" s="124"/>
      <c r="G39" s="124"/>
      <c r="H39" s="124"/>
      <c r="I39" s="124"/>
      <c r="J39" s="124"/>
      <c r="K39" s="124"/>
      <c r="L39" s="124"/>
      <c r="M39" s="124"/>
      <c r="N39" s="124"/>
      <c r="O39" s="124"/>
      <c r="P39" s="124"/>
      <c r="Q39" s="124"/>
      <c r="R39" s="135"/>
      <c r="S39" s="124"/>
      <c r="T39" s="124"/>
      <c r="U39" s="124"/>
      <c r="V39" s="124"/>
      <c r="W39" s="135"/>
      <c r="X39" s="182">
        <v>7</v>
      </c>
      <c r="Y39" s="200"/>
      <c r="Z39" s="201"/>
      <c r="AA39" s="182"/>
      <c r="AB39" s="182"/>
      <c r="AC39" s="277"/>
      <c r="AD39" s="108"/>
      <c r="AE39" s="108">
        <f t="shared" si="7"/>
        <v>0</v>
      </c>
      <c r="AF39" s="182"/>
      <c r="AG39" s="182"/>
      <c r="AH39" s="202"/>
      <c r="AI39" s="203"/>
      <c r="AJ39" s="108">
        <f t="shared" ref="AJ39:AJ62" si="10">AE39</f>
        <v>0</v>
      </c>
      <c r="AK39" s="301"/>
      <c r="AL39" s="258">
        <f t="shared" si="8"/>
        <v>0</v>
      </c>
      <c r="AM39" s="221">
        <v>7</v>
      </c>
      <c r="AN39" s="16"/>
      <c r="AR39" s="2"/>
      <c r="AS39" s="11"/>
      <c r="AT39" s="11"/>
      <c r="AU39" s="11"/>
      <c r="AV39" s="12"/>
      <c r="AW39" s="2"/>
      <c r="BA39" s="7"/>
    </row>
    <row r="40" spans="1:54" ht="18.75" x14ac:dyDescent="0.3">
      <c r="A40" s="124"/>
      <c r="B40" s="124"/>
      <c r="C40" s="124"/>
      <c r="D40" s="124"/>
      <c r="E40" s="124"/>
      <c r="F40" s="124"/>
      <c r="G40" s="124"/>
      <c r="H40" s="124"/>
      <c r="I40" s="124"/>
      <c r="J40" s="124"/>
      <c r="K40" s="124"/>
      <c r="L40" s="124"/>
      <c r="M40" s="124"/>
      <c r="N40" s="324"/>
      <c r="O40" s="324"/>
      <c r="P40" s="124"/>
      <c r="Q40" s="124"/>
      <c r="R40" s="135"/>
      <c r="S40" s="124"/>
      <c r="T40" s="124"/>
      <c r="U40" s="124"/>
      <c r="V40" s="124"/>
      <c r="W40" s="135"/>
      <c r="X40" s="182">
        <v>8</v>
      </c>
      <c r="Y40" s="200"/>
      <c r="Z40" s="201"/>
      <c r="AA40" s="182"/>
      <c r="AB40" s="182"/>
      <c r="AC40" s="258"/>
      <c r="AD40" s="210"/>
      <c r="AE40" s="108">
        <f t="shared" si="7"/>
        <v>0</v>
      </c>
      <c r="AF40" s="182"/>
      <c r="AG40" s="182"/>
      <c r="AH40" s="202"/>
      <c r="AI40" s="203"/>
      <c r="AJ40" s="108">
        <f t="shared" si="10"/>
        <v>0</v>
      </c>
      <c r="AK40" s="301"/>
      <c r="AL40" s="258">
        <f t="shared" si="8"/>
        <v>0</v>
      </c>
      <c r="AM40" s="221">
        <v>8</v>
      </c>
      <c r="AN40" s="16"/>
      <c r="AR40" s="2"/>
      <c r="AS40" s="11"/>
      <c r="AT40" s="11"/>
      <c r="AU40" s="11"/>
      <c r="AV40" s="12"/>
      <c r="AW40" s="2"/>
    </row>
    <row r="41" spans="1:54" ht="18.75" x14ac:dyDescent="0.3">
      <c r="A41" s="124"/>
      <c r="B41" s="124"/>
      <c r="C41" s="124"/>
      <c r="D41" s="124"/>
      <c r="E41" s="124"/>
      <c r="F41" s="124"/>
      <c r="G41" s="124"/>
      <c r="H41" s="124"/>
      <c r="I41" s="124"/>
      <c r="J41" s="124"/>
      <c r="K41" s="124"/>
      <c r="L41" s="124"/>
      <c r="M41" s="124"/>
      <c r="N41" s="324"/>
      <c r="O41" s="324"/>
      <c r="P41" s="124"/>
      <c r="Q41" s="124"/>
      <c r="R41" s="135"/>
      <c r="S41" s="124"/>
      <c r="T41" s="124"/>
      <c r="U41" s="124"/>
      <c r="V41" s="124"/>
      <c r="W41" s="135"/>
      <c r="X41" s="182">
        <v>9</v>
      </c>
      <c r="Y41" s="200"/>
      <c r="Z41" s="201"/>
      <c r="AA41" s="182"/>
      <c r="AB41" s="182"/>
      <c r="AC41" s="277"/>
      <c r="AD41" s="108"/>
      <c r="AE41" s="108">
        <f t="shared" si="7"/>
        <v>0</v>
      </c>
      <c r="AF41" s="182"/>
      <c r="AG41" s="182"/>
      <c r="AH41" s="202"/>
      <c r="AI41" s="203"/>
      <c r="AJ41" s="108">
        <f t="shared" si="10"/>
        <v>0</v>
      </c>
      <c r="AK41" s="301"/>
      <c r="AL41" s="258">
        <f t="shared" si="8"/>
        <v>0</v>
      </c>
      <c r="AM41" s="221">
        <v>9</v>
      </c>
      <c r="AN41" s="16"/>
      <c r="AR41" s="2"/>
      <c r="AS41" s="11"/>
      <c r="AT41" s="11"/>
      <c r="AU41" s="11"/>
      <c r="AV41" s="12"/>
      <c r="AW41" s="2"/>
    </row>
    <row r="42" spans="1:54" ht="18.75" x14ac:dyDescent="0.3">
      <c r="A42" s="124"/>
      <c r="B42" s="124"/>
      <c r="C42" s="124"/>
      <c r="D42" s="124"/>
      <c r="E42" s="124"/>
      <c r="F42" s="124"/>
      <c r="G42" s="124"/>
      <c r="H42" s="124"/>
      <c r="I42" s="124" t="s">
        <v>14</v>
      </c>
      <c r="J42" s="124"/>
      <c r="K42" s="124"/>
      <c r="L42" s="124"/>
      <c r="M42" s="124"/>
      <c r="N42" s="324"/>
      <c r="O42" s="324"/>
      <c r="P42" s="124"/>
      <c r="Q42" s="124"/>
      <c r="R42" s="135"/>
      <c r="S42" s="124"/>
      <c r="T42" s="124"/>
      <c r="U42" s="124"/>
      <c r="V42" s="124"/>
      <c r="W42" s="135"/>
      <c r="X42" s="182">
        <v>10</v>
      </c>
      <c r="Y42" s="200"/>
      <c r="Z42" s="201"/>
      <c r="AA42" s="182"/>
      <c r="AB42" s="182"/>
      <c r="AC42" s="258"/>
      <c r="AD42" s="210"/>
      <c r="AE42" s="108">
        <f t="shared" si="7"/>
        <v>0</v>
      </c>
      <c r="AF42" s="182"/>
      <c r="AG42" s="182"/>
      <c r="AH42" s="202"/>
      <c r="AI42" s="203"/>
      <c r="AJ42" s="108">
        <f t="shared" si="10"/>
        <v>0</v>
      </c>
      <c r="AK42" s="163"/>
      <c r="AL42" s="258">
        <f t="shared" si="8"/>
        <v>0</v>
      </c>
      <c r="AM42" s="221">
        <v>10</v>
      </c>
      <c r="AN42" s="16"/>
      <c r="AR42" s="2"/>
      <c r="AS42" s="11"/>
      <c r="AT42" s="11"/>
      <c r="AU42" s="11"/>
      <c r="AV42" s="2"/>
      <c r="AW42" s="2"/>
    </row>
    <row r="43" spans="1:54" ht="15.75" x14ac:dyDescent="0.25">
      <c r="A43" s="124"/>
      <c r="B43" s="124"/>
      <c r="C43" s="279"/>
      <c r="D43" s="279"/>
      <c r="E43" s="124"/>
      <c r="F43" s="124"/>
      <c r="G43" s="124"/>
      <c r="H43" s="124"/>
      <c r="I43" s="124"/>
      <c r="J43" s="124"/>
      <c r="K43" s="124"/>
      <c r="L43" s="124"/>
      <c r="M43" s="124"/>
      <c r="N43" s="324"/>
      <c r="O43" s="325"/>
      <c r="P43" s="124"/>
      <c r="Q43" s="124"/>
      <c r="R43" s="135"/>
      <c r="S43" s="124"/>
      <c r="T43" s="124"/>
      <c r="U43" s="124"/>
      <c r="V43" s="124"/>
      <c r="W43" s="135"/>
      <c r="X43" s="182">
        <v>11</v>
      </c>
      <c r="Y43" s="200"/>
      <c r="Z43" s="201"/>
      <c r="AA43" s="182"/>
      <c r="AB43" s="182"/>
      <c r="AC43" s="258"/>
      <c r="AD43" s="210"/>
      <c r="AE43" s="108">
        <f t="shared" si="7"/>
        <v>0</v>
      </c>
      <c r="AF43" s="182"/>
      <c r="AG43" s="182"/>
      <c r="AH43" s="202"/>
      <c r="AI43" s="203"/>
      <c r="AJ43" s="108">
        <f t="shared" si="10"/>
        <v>0</v>
      </c>
      <c r="AK43" s="23"/>
      <c r="AL43" s="258">
        <f t="shared" si="8"/>
        <v>0</v>
      </c>
      <c r="AM43" s="221">
        <v>11</v>
      </c>
      <c r="AN43" s="38"/>
      <c r="AR43" s="2"/>
      <c r="AS43" s="11"/>
      <c r="AT43" s="11"/>
      <c r="AU43" s="11"/>
      <c r="AV43" s="2"/>
    </row>
    <row r="44" spans="1:54" ht="15.75" x14ac:dyDescent="0.25">
      <c r="A44" s="124"/>
      <c r="B44" s="124"/>
      <c r="C44" s="124"/>
      <c r="D44" s="124"/>
      <c r="E44" s="124"/>
      <c r="F44" s="124"/>
      <c r="G44" s="124"/>
      <c r="H44" s="124"/>
      <c r="I44" s="124"/>
      <c r="J44" s="135"/>
      <c r="K44" s="124"/>
      <c r="L44" s="124"/>
      <c r="M44" s="124"/>
      <c r="N44" s="324"/>
      <c r="O44" s="324"/>
      <c r="P44" s="124"/>
      <c r="Q44" s="124"/>
      <c r="R44" s="135"/>
      <c r="S44" s="124"/>
      <c r="T44" s="124"/>
      <c r="U44" s="124"/>
      <c r="V44" s="124"/>
      <c r="W44" s="135"/>
      <c r="X44" s="182">
        <v>12</v>
      </c>
      <c r="Y44" s="200"/>
      <c r="Z44" s="201"/>
      <c r="AA44" s="221"/>
      <c r="AB44" s="182"/>
      <c r="AC44" s="258"/>
      <c r="AD44" s="210"/>
      <c r="AE44" s="108">
        <f t="shared" si="7"/>
        <v>0</v>
      </c>
      <c r="AF44" s="182"/>
      <c r="AG44" s="182"/>
      <c r="AH44" s="202"/>
      <c r="AI44" s="203"/>
      <c r="AJ44" s="108">
        <f t="shared" si="10"/>
        <v>0</v>
      </c>
      <c r="AK44" s="25"/>
      <c r="AL44" s="258">
        <f t="shared" si="8"/>
        <v>0</v>
      </c>
      <c r="AM44" s="221">
        <v>12</v>
      </c>
      <c r="AN44" s="28"/>
      <c r="AR44" s="2"/>
      <c r="AS44" s="11"/>
      <c r="AT44" s="11"/>
      <c r="AU44" s="11"/>
      <c r="AV44" s="2"/>
    </row>
    <row r="45" spans="1:54" ht="15.75" x14ac:dyDescent="0.25">
      <c r="A45" s="135"/>
      <c r="B45" s="135"/>
      <c r="C45" s="135"/>
      <c r="D45" s="135"/>
      <c r="E45" s="135"/>
      <c r="F45" s="135"/>
      <c r="G45" s="135"/>
      <c r="H45" s="135"/>
      <c r="I45" s="135"/>
      <c r="J45" s="135"/>
      <c r="K45" s="135"/>
      <c r="L45" s="135"/>
      <c r="M45" s="135"/>
      <c r="N45" s="326"/>
      <c r="O45" s="327"/>
      <c r="P45" s="135"/>
      <c r="Q45" s="124"/>
      <c r="R45" s="135"/>
      <c r="S45" s="124"/>
      <c r="T45" s="124"/>
      <c r="U45" s="124"/>
      <c r="V45" s="124"/>
      <c r="W45" s="135"/>
      <c r="X45" s="182">
        <v>13</v>
      </c>
      <c r="Y45" s="200"/>
      <c r="Z45" s="201"/>
      <c r="AA45" s="182"/>
      <c r="AB45" s="182"/>
      <c r="AC45" s="258"/>
      <c r="AD45" s="210"/>
      <c r="AE45" s="108">
        <f t="shared" si="7"/>
        <v>0</v>
      </c>
      <c r="AF45" s="182"/>
      <c r="AG45" s="208"/>
      <c r="AH45" s="202"/>
      <c r="AI45" s="203"/>
      <c r="AJ45" s="108">
        <f t="shared" si="10"/>
        <v>0</v>
      </c>
      <c r="AK45" s="25"/>
      <c r="AL45" s="258">
        <f t="shared" si="8"/>
        <v>0</v>
      </c>
      <c r="AM45" s="221">
        <v>13</v>
      </c>
      <c r="AN45" s="32"/>
      <c r="AR45" s="2"/>
      <c r="AS45" s="11"/>
      <c r="AT45" s="11"/>
      <c r="AU45" s="11"/>
      <c r="AV45" s="2"/>
    </row>
    <row r="46" spans="1:54" ht="18.75" x14ac:dyDescent="0.3">
      <c r="A46" s="135"/>
      <c r="B46" s="135"/>
      <c r="C46" s="135"/>
      <c r="D46" s="135"/>
      <c r="E46" s="135"/>
      <c r="F46" s="135"/>
      <c r="G46" s="135"/>
      <c r="H46" s="135"/>
      <c r="I46" s="135"/>
      <c r="J46" s="124"/>
      <c r="K46" s="135"/>
      <c r="L46" s="135"/>
      <c r="M46" s="135"/>
      <c r="N46" s="135"/>
      <c r="O46" s="135"/>
      <c r="P46" s="135" t="s">
        <v>14</v>
      </c>
      <c r="Q46" s="124"/>
      <c r="R46" s="135"/>
      <c r="S46" s="124"/>
      <c r="T46" s="124"/>
      <c r="U46" s="124"/>
      <c r="V46" s="124"/>
      <c r="W46" s="135"/>
      <c r="X46" s="182">
        <v>14</v>
      </c>
      <c r="Y46" s="200"/>
      <c r="Z46" s="201"/>
      <c r="AA46" s="182"/>
      <c r="AB46" s="182"/>
      <c r="AC46" s="258"/>
      <c r="AD46" s="210"/>
      <c r="AE46" s="108">
        <f t="shared" si="7"/>
        <v>0</v>
      </c>
      <c r="AF46" s="182"/>
      <c r="AG46" s="226"/>
      <c r="AH46" s="202"/>
      <c r="AI46" s="203"/>
      <c r="AJ46" s="108">
        <f t="shared" si="10"/>
        <v>0</v>
      </c>
      <c r="AK46" s="163"/>
      <c r="AL46" s="258">
        <f t="shared" si="8"/>
        <v>0</v>
      </c>
      <c r="AM46" s="221">
        <v>14</v>
      </c>
      <c r="AN46" s="34"/>
      <c r="AR46" s="2"/>
      <c r="AS46" s="11"/>
      <c r="AT46" s="11"/>
      <c r="AU46" s="11"/>
      <c r="AV46" s="2"/>
    </row>
    <row r="47" spans="1:54" ht="15.75" x14ac:dyDescent="0.25">
      <c r="A47" s="280"/>
      <c r="B47" s="135"/>
      <c r="C47" s="135"/>
      <c r="D47" s="135"/>
      <c r="E47" s="135"/>
      <c r="F47" s="281"/>
      <c r="G47" s="135"/>
      <c r="H47" s="135"/>
      <c r="I47" s="135"/>
      <c r="J47" s="135"/>
      <c r="K47" s="135"/>
      <c r="L47" s="135"/>
      <c r="M47" s="135"/>
      <c r="N47" s="135"/>
      <c r="O47" s="135"/>
      <c r="P47" s="135"/>
      <c r="Q47" s="124"/>
      <c r="R47" s="135"/>
      <c r="S47" s="124"/>
      <c r="T47" s="124"/>
      <c r="U47" s="124"/>
      <c r="V47" s="124"/>
      <c r="W47" s="135"/>
      <c r="X47" s="182">
        <v>15</v>
      </c>
      <c r="Y47" s="200"/>
      <c r="Z47" s="201"/>
      <c r="AA47" s="182"/>
      <c r="AB47" s="228"/>
      <c r="AC47" s="258"/>
      <c r="AD47" s="210"/>
      <c r="AE47" s="108">
        <f t="shared" si="7"/>
        <v>0</v>
      </c>
      <c r="AF47" s="182"/>
      <c r="AG47" s="182"/>
      <c r="AH47" s="202"/>
      <c r="AI47" s="203"/>
      <c r="AJ47" s="108">
        <f t="shared" si="10"/>
        <v>0</v>
      </c>
      <c r="AK47" s="23"/>
      <c r="AL47" s="258">
        <f t="shared" si="8"/>
        <v>0</v>
      </c>
      <c r="AM47" s="221">
        <v>15</v>
      </c>
      <c r="AN47" s="24"/>
      <c r="BA47" s="7"/>
    </row>
    <row r="48" spans="1:54" ht="15.75" x14ac:dyDescent="0.25">
      <c r="A48" s="280"/>
      <c r="B48" s="135"/>
      <c r="C48" s="135"/>
      <c r="D48" s="135"/>
      <c r="E48" s="135"/>
      <c r="F48" s="135"/>
      <c r="G48" s="135"/>
      <c r="H48" s="135"/>
      <c r="I48" s="135"/>
      <c r="J48" s="135"/>
      <c r="K48" s="135"/>
      <c r="L48" s="135"/>
      <c r="M48" s="135"/>
      <c r="N48" s="135"/>
      <c r="O48" s="135"/>
      <c r="P48" s="135"/>
      <c r="Q48" s="124"/>
      <c r="R48" s="135"/>
      <c r="S48" s="124"/>
      <c r="T48" s="124"/>
      <c r="U48" s="124"/>
      <c r="V48" s="124"/>
      <c r="W48" s="135"/>
      <c r="X48" s="182">
        <v>16</v>
      </c>
      <c r="Y48" s="200"/>
      <c r="Z48" s="201"/>
      <c r="AA48" s="182"/>
      <c r="AB48" s="182"/>
      <c r="AC48" s="258"/>
      <c r="AD48" s="210"/>
      <c r="AE48" s="108">
        <f t="shared" si="7"/>
        <v>0</v>
      </c>
      <c r="AF48" s="182"/>
      <c r="AG48" s="182"/>
      <c r="AH48" s="202"/>
      <c r="AI48" s="203"/>
      <c r="AJ48" s="108">
        <f t="shared" si="10"/>
        <v>0</v>
      </c>
      <c r="AK48" s="23"/>
      <c r="AL48" s="258">
        <f t="shared" si="8"/>
        <v>0</v>
      </c>
      <c r="AM48" s="221">
        <v>16</v>
      </c>
      <c r="AN48" s="24"/>
      <c r="AY48" s="7"/>
      <c r="BA48" s="7"/>
    </row>
    <row r="49" spans="1:54" ht="18.75" x14ac:dyDescent="0.3">
      <c r="A49" s="280"/>
      <c r="B49" s="135"/>
      <c r="C49" s="135"/>
      <c r="D49" s="135"/>
      <c r="E49" s="135"/>
      <c r="F49" s="281"/>
      <c r="G49" s="135"/>
      <c r="H49" s="135"/>
      <c r="I49" s="135"/>
      <c r="J49" s="135"/>
      <c r="K49" s="135"/>
      <c r="L49" s="135"/>
      <c r="M49" s="135"/>
      <c r="N49" s="135"/>
      <c r="O49" s="135"/>
      <c r="P49" s="135"/>
      <c r="Q49" s="124"/>
      <c r="R49" s="135"/>
      <c r="S49" s="124"/>
      <c r="T49" s="124"/>
      <c r="U49" s="124"/>
      <c r="V49" s="124"/>
      <c r="W49" s="135"/>
      <c r="X49" s="182">
        <v>17</v>
      </c>
      <c r="Y49" s="223"/>
      <c r="Z49" s="224"/>
      <c r="AA49" s="208"/>
      <c r="AB49" s="208"/>
      <c r="AC49" s="277"/>
      <c r="AD49" s="108"/>
      <c r="AE49" s="108">
        <f t="shared" si="7"/>
        <v>0</v>
      </c>
      <c r="AF49" s="208"/>
      <c r="AG49" s="208"/>
      <c r="AH49" s="202"/>
      <c r="AI49" s="203"/>
      <c r="AJ49" s="108">
        <f t="shared" si="10"/>
        <v>0</v>
      </c>
      <c r="AK49" s="163"/>
      <c r="AL49" s="258">
        <f t="shared" si="8"/>
        <v>0</v>
      </c>
      <c r="AM49" s="221">
        <v>17</v>
      </c>
      <c r="AN49" s="22"/>
      <c r="AY49" s="7"/>
      <c r="BA49" s="7"/>
    </row>
    <row r="50" spans="1:54" ht="18.75" x14ac:dyDescent="0.3">
      <c r="A50" s="280"/>
      <c r="B50" s="135"/>
      <c r="C50" s="135"/>
      <c r="D50" s="135"/>
      <c r="E50" s="135"/>
      <c r="F50" s="281"/>
      <c r="G50" s="135"/>
      <c r="H50" s="135"/>
      <c r="I50" s="135"/>
      <c r="J50" s="135"/>
      <c r="K50" s="135"/>
      <c r="L50" s="135"/>
      <c r="M50" s="135"/>
      <c r="N50" s="135"/>
      <c r="O50" s="135"/>
      <c r="P50" s="135"/>
      <c r="Q50" s="124"/>
      <c r="R50" s="135"/>
      <c r="S50" s="124"/>
      <c r="T50" s="124"/>
      <c r="U50" s="124"/>
      <c r="V50" s="124"/>
      <c r="W50" s="135"/>
      <c r="X50" s="182">
        <v>18</v>
      </c>
      <c r="Y50" s="200"/>
      <c r="Z50" s="201"/>
      <c r="AA50" s="182"/>
      <c r="AB50" s="182"/>
      <c r="AC50" s="277"/>
      <c r="AD50" s="108"/>
      <c r="AE50" s="108">
        <f t="shared" si="7"/>
        <v>0</v>
      </c>
      <c r="AF50" s="182"/>
      <c r="AG50" s="216"/>
      <c r="AH50" s="202"/>
      <c r="AI50" s="203"/>
      <c r="AJ50" s="108">
        <f t="shared" si="10"/>
        <v>0</v>
      </c>
      <c r="AK50" s="163"/>
      <c r="AL50" s="258">
        <f t="shared" si="8"/>
        <v>0</v>
      </c>
      <c r="AM50" s="221">
        <v>18</v>
      </c>
      <c r="AN50" s="22"/>
      <c r="AY50" s="2"/>
    </row>
    <row r="51" spans="1:54" ht="18.75" x14ac:dyDescent="0.3">
      <c r="A51" s="280"/>
      <c r="B51" s="135"/>
      <c r="C51" s="135"/>
      <c r="D51" s="135"/>
      <c r="E51" s="135"/>
      <c r="F51" s="281"/>
      <c r="G51" s="135"/>
      <c r="H51" s="135"/>
      <c r="I51" s="135"/>
      <c r="J51" s="135"/>
      <c r="K51" s="135"/>
      <c r="L51" s="135"/>
      <c r="M51" s="135"/>
      <c r="N51" s="135"/>
      <c r="O51" s="135"/>
      <c r="P51" s="135"/>
      <c r="Q51" s="124"/>
      <c r="R51" s="135"/>
      <c r="S51" s="124"/>
      <c r="T51" s="124"/>
      <c r="U51" s="124"/>
      <c r="V51" s="124"/>
      <c r="W51" s="135"/>
      <c r="X51" s="182">
        <v>19</v>
      </c>
      <c r="Y51" s="200"/>
      <c r="Z51" s="201"/>
      <c r="AA51" s="182"/>
      <c r="AB51" s="221"/>
      <c r="AC51" s="277"/>
      <c r="AD51" s="108"/>
      <c r="AE51" s="108">
        <f t="shared" si="7"/>
        <v>0</v>
      </c>
      <c r="AF51" s="182"/>
      <c r="AG51" s="182"/>
      <c r="AH51" s="202"/>
      <c r="AI51" s="203"/>
      <c r="AJ51" s="108">
        <f t="shared" si="10"/>
        <v>0</v>
      </c>
      <c r="AK51" s="163"/>
      <c r="AL51" s="258">
        <f t="shared" si="8"/>
        <v>0</v>
      </c>
      <c r="AM51" s="221">
        <v>19</v>
      </c>
      <c r="AN51" s="22"/>
      <c r="AR51" s="2"/>
      <c r="AS51" s="2"/>
      <c r="AT51" s="2"/>
      <c r="AU51" s="2"/>
      <c r="AV51" s="2"/>
      <c r="AY51" s="2"/>
      <c r="AZ51" s="2"/>
      <c r="BA51" s="2"/>
      <c r="BB51" s="2"/>
    </row>
    <row r="52" spans="1:54" ht="18.75" x14ac:dyDescent="0.3">
      <c r="A52" s="280"/>
      <c r="B52" s="135"/>
      <c r="C52" s="135"/>
      <c r="D52" s="135"/>
      <c r="E52" s="135"/>
      <c r="F52" s="135"/>
      <c r="G52" s="135"/>
      <c r="H52" s="135"/>
      <c r="I52" s="135"/>
      <c r="J52" s="135"/>
      <c r="K52" s="135"/>
      <c r="L52" s="135"/>
      <c r="M52" s="135"/>
      <c r="N52" s="135"/>
      <c r="O52" s="135"/>
      <c r="P52" s="135"/>
      <c r="Q52" s="124"/>
      <c r="R52" s="135"/>
      <c r="S52" s="124"/>
      <c r="T52" s="124"/>
      <c r="U52" s="124"/>
      <c r="V52" s="124"/>
      <c r="W52" s="135"/>
      <c r="X52" s="182">
        <v>20</v>
      </c>
      <c r="Y52" s="200"/>
      <c r="Z52" s="201"/>
      <c r="AA52" s="182"/>
      <c r="AB52" s="182"/>
      <c r="AC52" s="277"/>
      <c r="AD52" s="108"/>
      <c r="AE52" s="108">
        <f t="shared" si="7"/>
        <v>0</v>
      </c>
      <c r="AF52" s="182"/>
      <c r="AG52" s="182"/>
      <c r="AH52" s="202"/>
      <c r="AI52" s="203"/>
      <c r="AJ52" s="108">
        <f t="shared" si="10"/>
        <v>0</v>
      </c>
      <c r="AK52" s="163"/>
      <c r="AL52" s="258">
        <f t="shared" si="8"/>
        <v>0</v>
      </c>
      <c r="AM52" s="221">
        <v>20</v>
      </c>
      <c r="AN52" s="22"/>
      <c r="AR52" s="92"/>
      <c r="AS52" s="11"/>
      <c r="AT52" s="11"/>
      <c r="AU52" s="2"/>
      <c r="AV52" s="2"/>
      <c r="AY52" s="2"/>
      <c r="AZ52" s="2"/>
      <c r="BA52" s="12"/>
      <c r="BB52" s="2"/>
    </row>
    <row r="53" spans="1:54" ht="18.75" x14ac:dyDescent="0.3">
      <c r="A53" s="280"/>
      <c r="B53" s="135"/>
      <c r="C53" s="135"/>
      <c r="D53" s="135"/>
      <c r="E53" s="135"/>
      <c r="F53" s="135"/>
      <c r="G53" s="135"/>
      <c r="H53" s="135"/>
      <c r="I53" s="135"/>
      <c r="J53" s="135"/>
      <c r="K53" s="135"/>
      <c r="L53" s="135"/>
      <c r="M53" s="135"/>
      <c r="N53" s="135"/>
      <c r="O53" s="135"/>
      <c r="P53" s="135"/>
      <c r="Q53" s="124"/>
      <c r="R53" s="135"/>
      <c r="S53" s="124"/>
      <c r="T53" s="124"/>
      <c r="U53" s="124"/>
      <c r="V53" s="124"/>
      <c r="W53" s="135"/>
      <c r="X53" s="182">
        <v>21</v>
      </c>
      <c r="Y53" s="200"/>
      <c r="Z53" s="201"/>
      <c r="AA53" s="182"/>
      <c r="AB53" s="225"/>
      <c r="AC53" s="277"/>
      <c r="AD53" s="108"/>
      <c r="AE53" s="108">
        <f t="shared" si="7"/>
        <v>0</v>
      </c>
      <c r="AF53" s="182"/>
      <c r="AG53" s="182"/>
      <c r="AH53" s="202"/>
      <c r="AI53" s="203"/>
      <c r="AJ53" s="108">
        <f t="shared" si="10"/>
        <v>0</v>
      </c>
      <c r="AK53" s="163"/>
      <c r="AL53" s="258">
        <f t="shared" si="8"/>
        <v>0</v>
      </c>
      <c r="AM53" s="221">
        <v>21</v>
      </c>
      <c r="AN53" s="16"/>
      <c r="AR53" s="92"/>
      <c r="AS53" s="11"/>
      <c r="AT53" s="11"/>
      <c r="AU53" s="2"/>
      <c r="AV53" s="2"/>
      <c r="AY53" s="12"/>
      <c r="AZ53" s="2"/>
      <c r="BA53" s="12"/>
      <c r="BB53" s="2"/>
    </row>
    <row r="54" spans="1:54" ht="18.75" x14ac:dyDescent="0.3">
      <c r="A54" s="280"/>
      <c r="B54" s="135"/>
      <c r="C54" s="135"/>
      <c r="D54" s="135"/>
      <c r="E54" s="135"/>
      <c r="F54" s="135"/>
      <c r="G54" s="135"/>
      <c r="H54" s="135"/>
      <c r="I54" s="135"/>
      <c r="J54" s="135"/>
      <c r="K54" s="135"/>
      <c r="L54" s="135"/>
      <c r="M54" s="135"/>
      <c r="N54" s="135"/>
      <c r="O54" s="135"/>
      <c r="P54" s="135"/>
      <c r="Q54" s="124"/>
      <c r="R54" s="135"/>
      <c r="S54" s="124"/>
      <c r="T54" s="124"/>
      <c r="U54" s="124"/>
      <c r="V54" s="124"/>
      <c r="W54" s="135"/>
      <c r="X54" s="182">
        <v>22</v>
      </c>
      <c r="Y54" s="200"/>
      <c r="Z54" s="201"/>
      <c r="AA54" s="182"/>
      <c r="AB54" s="182"/>
      <c r="AC54" s="277"/>
      <c r="AD54" s="108"/>
      <c r="AE54" s="108">
        <f t="shared" si="7"/>
        <v>0</v>
      </c>
      <c r="AF54" s="182"/>
      <c r="AG54" s="182"/>
      <c r="AH54" s="202"/>
      <c r="AI54" s="203"/>
      <c r="AJ54" s="108">
        <f t="shared" si="10"/>
        <v>0</v>
      </c>
      <c r="AK54" s="163"/>
      <c r="AL54" s="258">
        <f t="shared" si="8"/>
        <v>0</v>
      </c>
      <c r="AM54" s="221">
        <v>22</v>
      </c>
      <c r="AN54" s="22"/>
      <c r="AR54" s="92"/>
      <c r="AS54" s="11"/>
      <c r="AT54" s="11"/>
      <c r="AU54" s="2"/>
      <c r="AV54" s="2"/>
      <c r="AY54" s="12"/>
      <c r="AZ54" s="2"/>
      <c r="BA54" s="12"/>
      <c r="BB54" s="2"/>
    </row>
    <row r="55" spans="1:54" ht="18.75" x14ac:dyDescent="0.3">
      <c r="A55" s="280"/>
      <c r="B55" s="135"/>
      <c r="C55" s="135"/>
      <c r="D55" s="135"/>
      <c r="E55" s="135"/>
      <c r="F55" s="135"/>
      <c r="G55" s="135"/>
      <c r="H55" s="135"/>
      <c r="I55" s="135"/>
      <c r="J55" s="135"/>
      <c r="K55" s="135"/>
      <c r="L55" s="135"/>
      <c r="M55" s="135"/>
      <c r="N55" s="135"/>
      <c r="O55" s="135"/>
      <c r="P55" s="135"/>
      <c r="Q55" s="124"/>
      <c r="R55" s="135"/>
      <c r="S55" s="124"/>
      <c r="T55" s="124"/>
      <c r="U55" s="124"/>
      <c r="V55" s="124"/>
      <c r="W55" s="135"/>
      <c r="X55" s="182">
        <v>23</v>
      </c>
      <c r="Y55" s="217"/>
      <c r="Z55" s="201"/>
      <c r="AA55" s="182"/>
      <c r="AB55" s="221"/>
      <c r="AC55" s="277"/>
      <c r="AD55" s="108"/>
      <c r="AE55" s="108">
        <f t="shared" si="7"/>
        <v>0</v>
      </c>
      <c r="AF55" s="182"/>
      <c r="AG55" s="216"/>
      <c r="AH55" s="202"/>
      <c r="AI55" s="203"/>
      <c r="AJ55" s="108">
        <f t="shared" si="10"/>
        <v>0</v>
      </c>
      <c r="AK55" s="163"/>
      <c r="AL55" s="258">
        <f t="shared" si="8"/>
        <v>0</v>
      </c>
      <c r="AM55" s="221">
        <v>23</v>
      </c>
      <c r="AN55" s="22"/>
      <c r="AR55" s="92"/>
      <c r="AS55" s="2"/>
      <c r="AT55" s="2"/>
      <c r="AU55" s="2"/>
      <c r="AV55" s="2"/>
      <c r="AY55" s="2"/>
      <c r="AZ55" s="2"/>
      <c r="BA55" s="12"/>
      <c r="BB55" s="2"/>
    </row>
    <row r="56" spans="1:54" ht="18.75" x14ac:dyDescent="0.3">
      <c r="A56" s="280"/>
      <c r="B56" s="135"/>
      <c r="C56" s="135"/>
      <c r="D56" s="135"/>
      <c r="E56" s="135"/>
      <c r="F56" s="135"/>
      <c r="G56" s="135"/>
      <c r="H56" s="135"/>
      <c r="I56" s="135"/>
      <c r="J56" s="135"/>
      <c r="K56" s="135"/>
      <c r="L56" s="135"/>
      <c r="M56" s="135"/>
      <c r="N56" s="135"/>
      <c r="O56" s="135"/>
      <c r="P56" s="135"/>
      <c r="Q56" s="124"/>
      <c r="R56" s="135"/>
      <c r="S56" s="124"/>
      <c r="T56" s="124"/>
      <c r="U56" s="124"/>
      <c r="V56" s="124"/>
      <c r="W56" s="135"/>
      <c r="X56" s="182">
        <v>24</v>
      </c>
      <c r="Y56" s="200"/>
      <c r="Z56" s="201"/>
      <c r="AA56" s="182"/>
      <c r="AB56" s="182"/>
      <c r="AC56" s="277"/>
      <c r="AD56" s="108"/>
      <c r="AE56" s="108">
        <f t="shared" si="7"/>
        <v>0</v>
      </c>
      <c r="AF56" s="182"/>
      <c r="AG56" s="182"/>
      <c r="AH56" s="202"/>
      <c r="AI56" s="203"/>
      <c r="AJ56" s="108">
        <f t="shared" si="10"/>
        <v>0</v>
      </c>
      <c r="AK56" s="301"/>
      <c r="AL56" s="258">
        <f t="shared" si="8"/>
        <v>0</v>
      </c>
      <c r="AM56" s="221">
        <v>24</v>
      </c>
      <c r="AN56" s="22"/>
      <c r="AR56" s="2"/>
      <c r="AS56" s="2"/>
      <c r="AT56" s="2"/>
      <c r="AU56" s="2"/>
      <c r="AV56" s="2"/>
      <c r="AY56" s="2"/>
      <c r="AZ56" s="2"/>
      <c r="BA56" s="2"/>
      <c r="BB56" s="2"/>
    </row>
    <row r="57" spans="1:54" ht="18.75" x14ac:dyDescent="0.3">
      <c r="A57" s="280"/>
      <c r="B57" s="135"/>
      <c r="C57" s="135"/>
      <c r="D57" s="135"/>
      <c r="E57" s="135"/>
      <c r="F57" s="135"/>
      <c r="G57" s="135"/>
      <c r="H57" s="135"/>
      <c r="I57" s="135"/>
      <c r="J57" s="135"/>
      <c r="K57" s="135"/>
      <c r="L57" s="135"/>
      <c r="M57" s="135"/>
      <c r="N57" s="135"/>
      <c r="O57" s="135"/>
      <c r="P57" s="135"/>
      <c r="Q57" s="124"/>
      <c r="R57" s="135"/>
      <c r="S57" s="124"/>
      <c r="T57" s="124"/>
      <c r="U57" s="124"/>
      <c r="V57" s="124"/>
      <c r="W57" s="135"/>
      <c r="X57" s="182">
        <v>25</v>
      </c>
      <c r="Y57" s="200"/>
      <c r="Z57" s="201"/>
      <c r="AA57" s="182"/>
      <c r="AB57" s="182"/>
      <c r="AC57" s="277"/>
      <c r="AD57" s="108"/>
      <c r="AE57" s="108">
        <f t="shared" si="7"/>
        <v>0</v>
      </c>
      <c r="AF57" s="182"/>
      <c r="AG57" s="182"/>
      <c r="AH57" s="202"/>
      <c r="AI57" s="203"/>
      <c r="AJ57" s="108">
        <f t="shared" si="10"/>
        <v>0</v>
      </c>
      <c r="AK57" s="163"/>
      <c r="AL57" s="258">
        <f t="shared" si="8"/>
        <v>0</v>
      </c>
      <c r="AM57" s="221">
        <v>25</v>
      </c>
      <c r="AN57" s="36"/>
      <c r="AR57" s="92"/>
      <c r="AS57" s="2"/>
      <c r="AT57" s="2"/>
      <c r="AU57" s="2"/>
      <c r="AV57" s="2"/>
      <c r="AY57" s="2"/>
      <c r="AZ57" s="2"/>
      <c r="BA57" s="2"/>
      <c r="BB57" s="2"/>
    </row>
    <row r="58" spans="1:54" ht="18.75" x14ac:dyDescent="0.3">
      <c r="A58" s="280"/>
      <c r="B58" s="135"/>
      <c r="C58" s="135"/>
      <c r="D58" s="135"/>
      <c r="E58" s="135"/>
      <c r="F58" s="135"/>
      <c r="G58" s="135"/>
      <c r="H58" s="135"/>
      <c r="I58" s="135"/>
      <c r="J58" s="135"/>
      <c r="K58" s="135"/>
      <c r="L58" s="135"/>
      <c r="M58" s="135"/>
      <c r="N58" s="135"/>
      <c r="O58" s="135"/>
      <c r="P58" s="135"/>
      <c r="Q58" s="124"/>
      <c r="R58" s="135"/>
      <c r="S58" s="124"/>
      <c r="T58" s="124"/>
      <c r="U58" s="124"/>
      <c r="V58" s="124"/>
      <c r="W58" s="135"/>
      <c r="X58" s="182">
        <v>26</v>
      </c>
      <c r="Y58" s="200"/>
      <c r="Z58" s="201"/>
      <c r="AA58" s="182"/>
      <c r="AB58" s="182"/>
      <c r="AC58" s="277"/>
      <c r="AD58" s="108"/>
      <c r="AE58" s="108">
        <f t="shared" si="7"/>
        <v>0</v>
      </c>
      <c r="AF58" s="182"/>
      <c r="AG58" s="182"/>
      <c r="AH58" s="202"/>
      <c r="AI58" s="203"/>
      <c r="AJ58" s="108">
        <f t="shared" si="10"/>
        <v>0</v>
      </c>
      <c r="AK58" s="163"/>
      <c r="AL58" s="258">
        <f t="shared" si="8"/>
        <v>0</v>
      </c>
      <c r="AM58" s="221">
        <v>26</v>
      </c>
      <c r="AN58" s="16"/>
      <c r="AR58" s="2"/>
      <c r="AS58" s="2"/>
      <c r="AT58" s="2"/>
      <c r="AU58" s="2"/>
      <c r="AV58" s="2"/>
      <c r="AY58" s="2"/>
      <c r="AZ58" s="2"/>
      <c r="BA58" s="2"/>
      <c r="BB58" s="2"/>
    </row>
    <row r="59" spans="1:54" ht="18.75" x14ac:dyDescent="0.3">
      <c r="A59" s="280"/>
      <c r="B59" s="135"/>
      <c r="C59" s="135"/>
      <c r="D59" s="135"/>
      <c r="E59" s="135"/>
      <c r="F59" s="135"/>
      <c r="G59" s="135"/>
      <c r="H59" s="135"/>
      <c r="I59" s="135"/>
      <c r="J59" s="135"/>
      <c r="K59" s="135"/>
      <c r="L59" s="135"/>
      <c r="M59" s="135"/>
      <c r="N59" s="135"/>
      <c r="O59" s="135"/>
      <c r="P59" s="135"/>
      <c r="Q59" s="124"/>
      <c r="R59" s="135"/>
      <c r="S59" s="124"/>
      <c r="T59" s="124"/>
      <c r="U59" s="124"/>
      <c r="V59" s="124"/>
      <c r="W59" s="135"/>
      <c r="X59" s="182">
        <v>27</v>
      </c>
      <c r="Y59" s="200"/>
      <c r="Z59" s="201"/>
      <c r="AA59" s="182"/>
      <c r="AB59" s="182"/>
      <c r="AC59" s="277"/>
      <c r="AD59" s="108"/>
      <c r="AE59" s="108">
        <f t="shared" si="7"/>
        <v>0</v>
      </c>
      <c r="AF59" s="182"/>
      <c r="AG59" s="182"/>
      <c r="AH59" s="202"/>
      <c r="AI59" s="203"/>
      <c r="AJ59" s="108">
        <f t="shared" si="10"/>
        <v>0</v>
      </c>
      <c r="AK59" s="163"/>
      <c r="AL59" s="258">
        <f t="shared" si="8"/>
        <v>0</v>
      </c>
      <c r="AM59" s="221">
        <v>27</v>
      </c>
      <c r="AN59" s="16"/>
      <c r="AR59" s="2"/>
      <c r="AS59" s="2"/>
      <c r="AT59" s="2"/>
      <c r="AU59" s="2"/>
      <c r="AV59" s="12"/>
      <c r="AY59" s="2"/>
      <c r="AZ59" s="2"/>
      <c r="BA59" s="2"/>
      <c r="BB59" s="2"/>
    </row>
    <row r="60" spans="1:54" ht="18.75" x14ac:dyDescent="0.3">
      <c r="A60" s="280"/>
      <c r="B60" s="135"/>
      <c r="C60" s="135"/>
      <c r="D60" s="135"/>
      <c r="E60" s="135"/>
      <c r="F60" s="135"/>
      <c r="G60" s="135"/>
      <c r="H60" s="135"/>
      <c r="I60" s="135"/>
      <c r="J60" s="135"/>
      <c r="K60" s="135"/>
      <c r="L60" s="135"/>
      <c r="M60" s="135"/>
      <c r="N60" s="135"/>
      <c r="O60" s="135"/>
      <c r="P60" s="135"/>
      <c r="Q60" s="124"/>
      <c r="R60" s="135"/>
      <c r="S60" s="124"/>
      <c r="T60" s="124"/>
      <c r="U60" s="124"/>
      <c r="V60" s="124"/>
      <c r="W60" s="135"/>
      <c r="X60" s="182">
        <v>28</v>
      </c>
      <c r="Y60" s="200"/>
      <c r="Z60" s="201"/>
      <c r="AA60" s="182"/>
      <c r="AB60" s="227"/>
      <c r="AC60" s="277"/>
      <c r="AD60" s="108"/>
      <c r="AE60" s="108">
        <f t="shared" si="7"/>
        <v>0</v>
      </c>
      <c r="AF60" s="182"/>
      <c r="AG60" s="182"/>
      <c r="AH60" s="202"/>
      <c r="AI60" s="203"/>
      <c r="AJ60" s="108">
        <f t="shared" si="10"/>
        <v>0</v>
      </c>
      <c r="AK60" s="163"/>
      <c r="AL60" s="258">
        <f t="shared" si="8"/>
        <v>0</v>
      </c>
      <c r="AM60" s="221">
        <v>28</v>
      </c>
      <c r="AN60" s="16"/>
      <c r="AR60" s="12"/>
      <c r="AS60" s="2"/>
      <c r="AT60" s="2"/>
      <c r="AU60" s="2"/>
      <c r="AV60" s="12"/>
      <c r="AY60" s="2"/>
      <c r="AZ60" s="2"/>
      <c r="BA60" s="2"/>
      <c r="BB60" s="2"/>
    </row>
    <row r="61" spans="1:54" ht="18.75" x14ac:dyDescent="0.3">
      <c r="A61" s="280"/>
      <c r="B61" s="135"/>
      <c r="C61" s="135"/>
      <c r="D61" s="135"/>
      <c r="E61" s="135"/>
      <c r="F61" s="135"/>
      <c r="G61" s="135"/>
      <c r="H61" s="135"/>
      <c r="I61" s="135"/>
      <c r="J61" s="135"/>
      <c r="K61" s="135"/>
      <c r="L61" s="135"/>
      <c r="M61" s="135"/>
      <c r="N61" s="135"/>
      <c r="O61" s="135"/>
      <c r="P61" s="135"/>
      <c r="Q61" s="124"/>
      <c r="R61" s="135"/>
      <c r="S61" s="124"/>
      <c r="T61" s="124"/>
      <c r="U61" s="124"/>
      <c r="V61" s="124"/>
      <c r="W61" s="135"/>
      <c r="X61" s="182">
        <v>29</v>
      </c>
      <c r="Y61" s="223"/>
      <c r="Z61" s="224"/>
      <c r="AA61" s="208"/>
      <c r="AB61" s="208"/>
      <c r="AC61" s="277"/>
      <c r="AD61" s="210"/>
      <c r="AE61" s="108">
        <f t="shared" si="7"/>
        <v>0</v>
      </c>
      <c r="AF61" s="182"/>
      <c r="AG61" s="182"/>
      <c r="AH61" s="282"/>
      <c r="AI61" s="203"/>
      <c r="AJ61" s="108">
        <f t="shared" si="10"/>
        <v>0</v>
      </c>
      <c r="AK61" s="306"/>
      <c r="AL61" s="258">
        <f t="shared" si="8"/>
        <v>0</v>
      </c>
      <c r="AM61" s="221">
        <v>29</v>
      </c>
      <c r="AN61" s="16"/>
      <c r="AR61" s="12"/>
      <c r="AS61" s="2"/>
      <c r="AT61" s="2"/>
      <c r="AU61" s="2"/>
      <c r="AV61" s="12"/>
    </row>
    <row r="62" spans="1:54" ht="18.75" x14ac:dyDescent="0.3">
      <c r="A62" s="280"/>
      <c r="B62" s="135"/>
      <c r="C62" s="135"/>
      <c r="D62" s="135"/>
      <c r="E62" s="135"/>
      <c r="F62" s="135"/>
      <c r="G62" s="135"/>
      <c r="H62" s="135"/>
      <c r="I62" s="135"/>
      <c r="J62" s="135"/>
      <c r="K62" s="135"/>
      <c r="L62" s="135"/>
      <c r="M62" s="135"/>
      <c r="N62" s="135"/>
      <c r="O62" s="135"/>
      <c r="P62" s="135"/>
      <c r="Q62" s="124"/>
      <c r="R62" s="135"/>
      <c r="S62" s="124"/>
      <c r="T62" s="124"/>
      <c r="U62" s="124"/>
      <c r="V62" s="124"/>
      <c r="W62" s="135"/>
      <c r="X62" s="182">
        <v>30</v>
      </c>
      <c r="Y62" s="223"/>
      <c r="Z62" s="224"/>
      <c r="AA62" s="208"/>
      <c r="AB62" s="208"/>
      <c r="AC62" s="277"/>
      <c r="AD62" s="108"/>
      <c r="AE62" s="108">
        <f t="shared" si="7"/>
        <v>0</v>
      </c>
      <c r="AF62" s="182"/>
      <c r="AG62" s="283"/>
      <c r="AH62" s="284"/>
      <c r="AI62" s="285"/>
      <c r="AJ62" s="286">
        <f t="shared" si="10"/>
        <v>0</v>
      </c>
      <c r="AK62" s="301"/>
      <c r="AL62" s="307">
        <f t="shared" si="8"/>
        <v>0</v>
      </c>
      <c r="AM62" s="221">
        <v>30</v>
      </c>
      <c r="AN62" s="16"/>
      <c r="AR62" s="2"/>
      <c r="AS62" s="2"/>
      <c r="AT62" s="2"/>
      <c r="AU62" s="2"/>
      <c r="AV62" s="12"/>
    </row>
    <row r="63" spans="1:54" ht="18.75" x14ac:dyDescent="0.3">
      <c r="A63" s="280"/>
      <c r="B63" s="135"/>
      <c r="C63" s="135"/>
      <c r="D63" s="135"/>
      <c r="E63" s="135"/>
      <c r="F63" s="135"/>
      <c r="G63" s="135"/>
      <c r="H63" s="135"/>
      <c r="I63" s="135"/>
      <c r="J63" s="135"/>
      <c r="K63" s="135"/>
      <c r="L63" s="135"/>
      <c r="M63" s="135"/>
      <c r="N63" s="135"/>
      <c r="O63" s="135"/>
      <c r="P63" s="135"/>
      <c r="Q63" s="124"/>
      <c r="R63" s="135"/>
      <c r="S63" s="124"/>
      <c r="T63" s="124"/>
      <c r="U63" s="124"/>
      <c r="V63" s="124"/>
      <c r="W63" s="135"/>
      <c r="X63" s="24"/>
      <c r="Y63" s="160"/>
      <c r="Z63" s="161"/>
      <c r="AA63" s="24"/>
      <c r="AB63" s="24"/>
      <c r="AC63" s="277">
        <f>SUM(AC33:AC62)</f>
        <v>0</v>
      </c>
      <c r="AD63" s="287"/>
      <c r="AE63" s="163"/>
      <c r="AF63" s="24"/>
      <c r="AG63" s="288"/>
      <c r="AH63" s="289" t="s">
        <v>75</v>
      </c>
      <c r="AI63" s="290"/>
      <c r="AJ63" s="291">
        <f>SUM(AJ3:AJ62)</f>
        <v>0</v>
      </c>
      <c r="AK63" s="163"/>
      <c r="AL63" s="258">
        <f t="shared" si="8"/>
        <v>0</v>
      </c>
      <c r="AM63" s="38"/>
      <c r="AN63" s="16"/>
      <c r="AR63" s="2"/>
      <c r="AS63" s="2"/>
      <c r="AT63" s="2"/>
      <c r="AU63" s="2"/>
      <c r="AV63" s="12"/>
    </row>
    <row r="64" spans="1:54" ht="18.75" x14ac:dyDescent="0.3">
      <c r="A64" s="280"/>
      <c r="B64" s="135"/>
      <c r="C64" s="135"/>
      <c r="D64" s="135"/>
      <c r="E64" s="135"/>
      <c r="F64" s="135"/>
      <c r="G64" s="135"/>
      <c r="H64" s="135"/>
      <c r="I64" s="135"/>
      <c r="J64" s="135"/>
      <c r="K64" s="135"/>
      <c r="L64" s="135"/>
      <c r="M64" s="135"/>
      <c r="N64" s="135"/>
      <c r="O64" s="135"/>
      <c r="P64" s="135"/>
      <c r="Q64" s="124"/>
      <c r="R64" s="135"/>
      <c r="S64" s="124"/>
      <c r="T64" s="124"/>
      <c r="U64" s="124"/>
      <c r="V64" s="124"/>
      <c r="W64" s="135"/>
      <c r="X64" s="24"/>
      <c r="Y64" s="292"/>
      <c r="Z64" s="293"/>
      <c r="AA64" s="32"/>
      <c r="AB64" s="294"/>
      <c r="AC64" s="295" t="s">
        <v>16</v>
      </c>
      <c r="AD64" s="296">
        <f>SUM(AD33:AD63)</f>
        <v>0</v>
      </c>
      <c r="AE64" s="163"/>
      <c r="AF64" s="24"/>
      <c r="AG64" s="24"/>
      <c r="AH64" s="297"/>
      <c r="AI64" s="165"/>
      <c r="AJ64" s="163"/>
      <c r="AK64" s="163"/>
      <c r="AL64" s="124"/>
      <c r="AM64" s="124"/>
      <c r="AN64" s="36"/>
      <c r="AR64" s="2"/>
      <c r="AS64" s="2"/>
      <c r="AT64" s="2"/>
      <c r="AU64" s="2"/>
      <c r="AV64" s="12"/>
    </row>
    <row r="65" spans="1:55" ht="18.75" x14ac:dyDescent="0.3">
      <c r="A65" s="280"/>
      <c r="B65" s="135"/>
      <c r="C65" s="135"/>
      <c r="D65" s="135"/>
      <c r="E65" s="135"/>
      <c r="F65" s="135"/>
      <c r="G65" s="135"/>
      <c r="H65" s="135"/>
      <c r="I65" s="135"/>
      <c r="J65" s="135"/>
      <c r="K65" s="135"/>
      <c r="L65" s="135"/>
      <c r="M65" s="135"/>
      <c r="N65" s="135"/>
      <c r="O65" s="135"/>
      <c r="P65" s="135"/>
      <c r="Q65" s="124"/>
      <c r="R65" s="135"/>
      <c r="S65" s="124"/>
      <c r="T65" s="124"/>
      <c r="U65" s="124"/>
      <c r="V65" s="124"/>
      <c r="W65" s="135"/>
      <c r="X65" s="24"/>
      <c r="Y65" s="160"/>
      <c r="Z65" s="161"/>
      <c r="AA65" s="24"/>
      <c r="AB65" s="24"/>
      <c r="AC65" s="163"/>
      <c r="AD65" s="163"/>
      <c r="AE65" s="163"/>
      <c r="AF65" s="24"/>
      <c r="AG65" s="24"/>
      <c r="AH65" s="297"/>
      <c r="AI65" s="165"/>
      <c r="AJ65" s="163"/>
      <c r="AK65" s="163"/>
      <c r="AL65" s="24"/>
      <c r="AM65" s="308"/>
      <c r="AN65" s="16"/>
      <c r="AR65" s="2"/>
      <c r="AS65" s="2"/>
      <c r="AT65" s="2"/>
      <c r="AU65" s="2"/>
      <c r="AV65" s="2"/>
    </row>
    <row r="66" spans="1:55" ht="18.75" x14ac:dyDescent="0.3">
      <c r="A66" s="280"/>
      <c r="B66" s="135"/>
      <c r="C66" s="135"/>
      <c r="D66" s="135"/>
      <c r="E66" s="135"/>
      <c r="F66" s="135"/>
      <c r="G66" s="135"/>
      <c r="H66" s="135"/>
      <c r="I66" s="135"/>
      <c r="J66" s="135"/>
      <c r="K66" s="135"/>
      <c r="L66" s="135"/>
      <c r="M66" s="135"/>
      <c r="N66" s="135"/>
      <c r="O66" s="135"/>
      <c r="P66" s="135"/>
      <c r="Q66" s="124"/>
      <c r="R66" s="135"/>
      <c r="S66" s="124"/>
      <c r="T66" s="124"/>
      <c r="U66" s="124"/>
      <c r="V66" s="124"/>
      <c r="W66" s="135"/>
      <c r="X66" s="24"/>
      <c r="Y66" s="160"/>
      <c r="Z66" s="161"/>
      <c r="AA66" s="24"/>
      <c r="AB66" s="24"/>
      <c r="AC66" s="163"/>
      <c r="AD66" s="163"/>
      <c r="AE66" s="163"/>
      <c r="AF66" s="24"/>
      <c r="AG66" s="24"/>
      <c r="AH66" s="297"/>
      <c r="AI66" s="202" t="s">
        <v>76</v>
      </c>
      <c r="AJ66" s="163"/>
      <c r="AK66" s="163"/>
      <c r="AL66" s="24"/>
      <c r="AM66" s="308"/>
      <c r="AN66" s="16"/>
      <c r="AR66" s="2"/>
      <c r="AS66" s="2"/>
      <c r="AT66" s="2"/>
      <c r="AU66" s="2"/>
      <c r="AV66" s="2"/>
    </row>
    <row r="67" spans="1:55" ht="18.75" x14ac:dyDescent="0.3">
      <c r="A67" s="280"/>
      <c r="B67" s="135"/>
      <c r="C67" s="135"/>
      <c r="D67" s="135"/>
      <c r="E67" s="135"/>
      <c r="F67" s="135"/>
      <c r="G67" s="135"/>
      <c r="H67" s="135"/>
      <c r="I67" s="135"/>
      <c r="J67" s="135"/>
      <c r="K67" s="135"/>
      <c r="L67" s="135"/>
      <c r="M67" s="135"/>
      <c r="N67" s="135"/>
      <c r="O67" s="135"/>
      <c r="P67" s="135"/>
      <c r="Q67" s="124"/>
      <c r="R67" s="135"/>
      <c r="S67" s="124"/>
      <c r="T67" s="124"/>
      <c r="U67" s="124"/>
      <c r="V67" s="124"/>
      <c r="W67" s="135"/>
      <c r="X67" s="24"/>
      <c r="Y67" s="160"/>
      <c r="Z67" s="161"/>
      <c r="AA67" s="24"/>
      <c r="AB67" s="24"/>
      <c r="AC67" s="231" t="s">
        <v>16</v>
      </c>
      <c r="AD67" s="231">
        <f>AD30</f>
        <v>0</v>
      </c>
      <c r="AE67" s="163"/>
      <c r="AF67" s="24"/>
      <c r="AG67" s="24"/>
      <c r="AH67" s="297"/>
      <c r="AI67" s="233"/>
      <c r="AJ67" s="291">
        <f>AJ63</f>
        <v>0</v>
      </c>
      <c r="AK67" s="163"/>
      <c r="AL67" s="24"/>
      <c r="AM67" s="308"/>
      <c r="AN67" s="16"/>
      <c r="AR67" s="2"/>
      <c r="AS67" s="2"/>
      <c r="AT67" s="2"/>
      <c r="AU67" s="2"/>
      <c r="AV67" s="2"/>
    </row>
    <row r="68" spans="1:55" ht="18.75" x14ac:dyDescent="0.3">
      <c r="A68" s="280"/>
      <c r="B68" s="135"/>
      <c r="C68" s="135"/>
      <c r="D68" s="135"/>
      <c r="E68" s="135"/>
      <c r="F68" s="135"/>
      <c r="G68" s="135"/>
      <c r="H68" s="135"/>
      <c r="I68" s="135"/>
      <c r="J68" s="135"/>
      <c r="K68" s="135"/>
      <c r="L68" s="135"/>
      <c r="M68" s="135"/>
      <c r="N68" s="135"/>
      <c r="O68" s="135"/>
      <c r="P68" s="135"/>
      <c r="Q68" s="124"/>
      <c r="R68" s="135"/>
      <c r="S68" s="124"/>
      <c r="T68" s="124"/>
      <c r="U68" s="124"/>
      <c r="V68" s="124"/>
      <c r="W68" s="135"/>
      <c r="X68" s="24"/>
      <c r="Y68" s="160"/>
      <c r="Z68" s="161"/>
      <c r="AA68" s="24"/>
      <c r="AB68" s="24"/>
      <c r="AC68" s="295" t="s">
        <v>16</v>
      </c>
      <c r="AD68" s="296">
        <f>AD64</f>
        <v>0</v>
      </c>
      <c r="AE68" s="163"/>
      <c r="AF68" s="24"/>
      <c r="AG68" s="24"/>
      <c r="AH68" s="297"/>
      <c r="AI68" s="298" t="s">
        <v>32</v>
      </c>
      <c r="AJ68" s="295">
        <f>'JANV 2026'!AJ69</f>
        <v>0</v>
      </c>
      <c r="AK68" s="163"/>
      <c r="AL68" s="24"/>
      <c r="AM68" s="308"/>
      <c r="AN68" s="16"/>
      <c r="AR68" s="2"/>
      <c r="AS68" s="2"/>
      <c r="AT68" s="2"/>
      <c r="AU68" s="2"/>
      <c r="AV68" s="2"/>
      <c r="BC68" s="20"/>
    </row>
    <row r="69" spans="1:55" ht="18.75" x14ac:dyDescent="0.3">
      <c r="A69" s="280"/>
      <c r="B69" s="135"/>
      <c r="C69" s="135"/>
      <c r="D69" s="135"/>
      <c r="E69" s="135"/>
      <c r="F69" s="135"/>
      <c r="G69" s="135"/>
      <c r="H69" s="135"/>
      <c r="I69" s="135"/>
      <c r="J69" s="135"/>
      <c r="K69" s="135"/>
      <c r="L69" s="135"/>
      <c r="M69" s="135"/>
      <c r="N69" s="135"/>
      <c r="O69" s="135"/>
      <c r="P69" s="135"/>
      <c r="Q69" s="124"/>
      <c r="R69" s="135"/>
      <c r="S69" s="124"/>
      <c r="T69" s="124"/>
      <c r="U69" s="124"/>
      <c r="V69" s="124"/>
      <c r="W69" s="135"/>
      <c r="X69" s="24"/>
      <c r="Y69" s="160"/>
      <c r="Z69" s="161"/>
      <c r="AA69" s="24"/>
      <c r="AB69" s="24"/>
      <c r="AC69" s="299" t="s">
        <v>74</v>
      </c>
      <c r="AD69" s="299">
        <f>SUM(AD67:AD68)</f>
        <v>0</v>
      </c>
      <c r="AE69" s="163"/>
      <c r="AF69" s="24"/>
      <c r="AG69" s="24"/>
      <c r="AH69" s="297"/>
      <c r="AI69" s="298" t="s">
        <v>33</v>
      </c>
      <c r="AJ69" s="300">
        <f>SUM(AJ67:AJ68)</f>
        <v>0</v>
      </c>
      <c r="AK69" s="163"/>
      <c r="AL69" s="24"/>
      <c r="AM69" s="308"/>
      <c r="AN69" s="16"/>
      <c r="AR69" s="2"/>
      <c r="AS69" s="2"/>
      <c r="AT69" s="2"/>
      <c r="AU69" s="2"/>
      <c r="AV69" s="2"/>
      <c r="BC69" s="20"/>
    </row>
    <row r="70" spans="1:55" ht="18.75" x14ac:dyDescent="0.3">
      <c r="A70" s="1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X70" s="16"/>
      <c r="Y70" s="41"/>
      <c r="Z70" s="42"/>
      <c r="AA70" s="20"/>
      <c r="AB70" s="44"/>
      <c r="AC70" s="19"/>
      <c r="AD70" s="19"/>
      <c r="AE70" s="19"/>
      <c r="AF70" s="20"/>
      <c r="AG70" s="20"/>
      <c r="AH70" s="43"/>
      <c r="AI70" s="21"/>
      <c r="AJ70" s="22"/>
      <c r="AK70" s="17"/>
      <c r="AL70" s="16"/>
      <c r="AM70" s="39"/>
      <c r="AN70" s="22"/>
      <c r="AR70" s="2"/>
      <c r="AS70" s="2"/>
      <c r="AT70" s="2"/>
      <c r="AU70" s="2"/>
      <c r="AV70" s="2"/>
    </row>
    <row r="71" spans="1:55" ht="18.75" x14ac:dyDescent="0.3">
      <c r="A71" s="1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X71" s="16"/>
      <c r="Y71" s="45"/>
      <c r="Z71" s="46"/>
      <c r="AA71" s="47"/>
      <c r="AB71" s="47"/>
      <c r="AC71" s="48"/>
      <c r="AD71" s="48"/>
      <c r="AE71" s="19"/>
      <c r="AF71" s="20"/>
      <c r="AG71" s="20"/>
      <c r="AH71" s="43"/>
      <c r="AK71" s="17"/>
      <c r="AL71" s="16"/>
      <c r="AM71" s="39"/>
      <c r="AN71" s="22"/>
      <c r="BA71" s="7"/>
    </row>
    <row r="72" spans="1:55" ht="18.75" x14ac:dyDescent="0.3">
      <c r="A72" s="1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X72" s="16"/>
      <c r="Y72" s="45"/>
      <c r="Z72" s="46"/>
      <c r="AA72" s="47"/>
      <c r="AB72" s="47"/>
      <c r="AC72" s="19"/>
      <c r="AD72" s="19"/>
      <c r="AE72" s="19"/>
      <c r="AF72" s="20"/>
      <c r="AG72" s="20"/>
      <c r="AH72" s="43"/>
      <c r="AK72" s="17"/>
      <c r="AL72" s="16"/>
      <c r="AM72" s="39"/>
      <c r="AN72" s="22"/>
      <c r="AY72" s="7"/>
      <c r="BA72" s="7"/>
    </row>
    <row r="73" spans="1:55" ht="18.75" x14ac:dyDescent="0.3">
      <c r="A73" s="1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X73" s="16"/>
      <c r="Y73" s="41"/>
      <c r="Z73" s="42"/>
      <c r="AA73" s="20"/>
      <c r="AB73" s="20"/>
      <c r="AC73" s="19"/>
      <c r="AD73" s="19"/>
      <c r="AE73" s="19"/>
      <c r="AF73" s="20"/>
      <c r="AG73" s="20"/>
      <c r="AH73" s="49"/>
      <c r="AK73" s="17"/>
      <c r="AL73" s="16"/>
      <c r="AM73" s="40" t="s">
        <v>34</v>
      </c>
      <c r="AN73" s="16"/>
      <c r="AY73" s="7"/>
      <c r="BA73" s="7"/>
    </row>
    <row r="74" spans="1:55" x14ac:dyDescent="0.2">
      <c r="A74" s="1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AY74" s="2"/>
    </row>
    <row r="75" spans="1:55" x14ac:dyDescent="0.2">
      <c r="A75" s="1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AR75" s="2"/>
      <c r="AS75" s="2"/>
      <c r="AT75" s="2"/>
      <c r="AU75" s="2"/>
      <c r="AV75" s="2"/>
      <c r="AY75" s="2"/>
      <c r="AZ75" s="2"/>
      <c r="BA75" s="2"/>
      <c r="BB75" s="2"/>
    </row>
    <row r="76" spans="1:55" x14ac:dyDescent="0.2">
      <c r="A76" s="1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AR76" s="92"/>
      <c r="AS76" s="11"/>
      <c r="AT76" s="11"/>
      <c r="AU76" s="11"/>
      <c r="AV76" s="2"/>
      <c r="AY76" s="2"/>
      <c r="AZ76" s="2"/>
      <c r="BA76" s="12"/>
      <c r="BB76" s="2"/>
    </row>
    <row r="77" spans="1:55" x14ac:dyDescent="0.2">
      <c r="A77" s="12"/>
      <c r="B77" s="2"/>
      <c r="L77" s="2"/>
      <c r="M77" s="2"/>
      <c r="N77" s="2"/>
      <c r="O77" s="2"/>
      <c r="AR77" s="92"/>
      <c r="AS77" s="11"/>
      <c r="AT77" s="11"/>
      <c r="AU77" s="11"/>
      <c r="AV77" s="2"/>
      <c r="AY77" s="12"/>
      <c r="AZ77" s="2"/>
      <c r="BA77" s="12"/>
      <c r="BB77" s="2"/>
    </row>
    <row r="78" spans="1:55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AR78" s="92"/>
      <c r="AS78" s="11"/>
      <c r="AT78" s="11"/>
      <c r="AU78" s="11"/>
      <c r="AV78" s="2"/>
      <c r="AY78" s="12"/>
      <c r="AZ78" s="2"/>
      <c r="BA78" s="12"/>
      <c r="BB78" s="2"/>
    </row>
    <row r="79" spans="1:55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AR79" s="92"/>
      <c r="AS79" s="2"/>
      <c r="AT79" s="2"/>
      <c r="AU79" s="2"/>
      <c r="AV79" s="2"/>
      <c r="AY79" s="2"/>
      <c r="AZ79" s="2"/>
      <c r="BA79" s="12"/>
      <c r="BB79" s="2"/>
    </row>
    <row r="80" spans="1:55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AR80" s="2"/>
      <c r="AS80" s="11"/>
      <c r="AT80" s="11"/>
      <c r="AU80" s="11"/>
      <c r="AV80" s="2"/>
      <c r="AY80" s="2"/>
      <c r="AZ80" s="2"/>
      <c r="BA80" s="2"/>
      <c r="BB80" s="2"/>
    </row>
    <row r="81" spans="1:54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AR81" s="92"/>
      <c r="AS81" s="2"/>
      <c r="AT81" s="2"/>
      <c r="AU81" s="2"/>
      <c r="AV81" s="2"/>
      <c r="AY81" s="2"/>
      <c r="AZ81" s="2"/>
      <c r="BA81" s="2"/>
      <c r="BB81" s="2"/>
    </row>
    <row r="82" spans="1:54" x14ac:dyDescent="0.2">
      <c r="A82" s="2"/>
      <c r="B82" s="2"/>
      <c r="C82" s="2"/>
      <c r="D82" s="2"/>
      <c r="E82" s="2"/>
      <c r="F82" s="2"/>
      <c r="G82" s="2"/>
      <c r="H82" s="2"/>
      <c r="I82" s="2"/>
      <c r="J82" s="13"/>
      <c r="K82" s="2"/>
      <c r="L82" s="2"/>
      <c r="M82" s="2"/>
      <c r="N82" s="2"/>
      <c r="O82" s="2"/>
      <c r="P82" s="2"/>
      <c r="AR82" s="2"/>
      <c r="AS82" s="2"/>
      <c r="AT82" s="2"/>
      <c r="AU82" s="2"/>
      <c r="AV82" s="2"/>
      <c r="AY82" s="2"/>
      <c r="AZ82" s="2"/>
      <c r="BA82" s="2"/>
      <c r="BB82" s="2"/>
    </row>
    <row r="83" spans="1:54" x14ac:dyDescent="0.2">
      <c r="J83" s="13"/>
      <c r="K83" s="2"/>
      <c r="AR83" s="2"/>
      <c r="AS83" s="2"/>
      <c r="AT83" s="2"/>
      <c r="AU83" s="2"/>
      <c r="AV83" s="12"/>
      <c r="AY83" s="2"/>
      <c r="AZ83" s="2"/>
      <c r="BA83" s="2"/>
      <c r="BB83" s="2"/>
    </row>
    <row r="84" spans="1:54" x14ac:dyDescent="0.2">
      <c r="AR84" s="12"/>
      <c r="AS84" s="2"/>
      <c r="AT84" s="2"/>
      <c r="AU84" s="2"/>
      <c r="AV84" s="12"/>
      <c r="AY84" s="2"/>
      <c r="AZ84" s="2"/>
      <c r="BA84" s="2"/>
      <c r="BB84" s="2"/>
    </row>
    <row r="85" spans="1:54" x14ac:dyDescent="0.2">
      <c r="A85" s="2"/>
      <c r="B85" s="2"/>
      <c r="AR85" s="12"/>
      <c r="AS85" s="2"/>
      <c r="AT85" s="2"/>
      <c r="AU85" s="2"/>
      <c r="AV85" s="12"/>
    </row>
    <row r="86" spans="1:54" x14ac:dyDescent="0.2">
      <c r="A86" s="2"/>
      <c r="B86" s="2"/>
      <c r="C86" s="2"/>
      <c r="D86" s="2"/>
      <c r="E86" s="2"/>
      <c r="F86" s="6"/>
      <c r="I86" s="6"/>
      <c r="AR86" s="2"/>
      <c r="AS86" s="2"/>
      <c r="AT86" s="2"/>
      <c r="AU86" s="2"/>
      <c r="AV86" s="12"/>
    </row>
    <row r="87" spans="1:54" x14ac:dyDescent="0.2">
      <c r="C87" s="5"/>
      <c r="F87" s="6"/>
      <c r="AR87" s="2"/>
      <c r="AS87" s="2"/>
      <c r="AT87" s="2"/>
      <c r="AU87" s="2"/>
      <c r="AV87" s="12"/>
    </row>
    <row r="88" spans="1:54" x14ac:dyDescent="0.2">
      <c r="C88" s="5"/>
      <c r="AR88" s="2"/>
      <c r="AS88" s="2"/>
      <c r="AT88" s="2"/>
      <c r="AU88" s="2"/>
      <c r="AV88" s="12"/>
    </row>
    <row r="89" spans="1:54" x14ac:dyDescent="0.2">
      <c r="C89" s="5"/>
      <c r="AR89" s="2"/>
      <c r="AS89" s="2"/>
      <c r="AT89" s="2"/>
      <c r="AU89" s="2"/>
      <c r="AV89" s="2"/>
    </row>
    <row r="90" spans="1:54" x14ac:dyDescent="0.2">
      <c r="C90" s="5"/>
      <c r="AR90" s="2"/>
      <c r="AS90" s="2"/>
      <c r="AT90" s="2"/>
      <c r="AU90" s="2"/>
      <c r="AV90" s="2"/>
    </row>
    <row r="91" spans="1:54" x14ac:dyDescent="0.2">
      <c r="C91" s="5"/>
      <c r="AR91" s="2"/>
      <c r="AS91" s="2"/>
      <c r="AT91" s="2"/>
      <c r="AU91" s="2"/>
      <c r="AV91" s="2"/>
    </row>
    <row r="92" spans="1:54" x14ac:dyDescent="0.2">
      <c r="C92" s="5"/>
      <c r="AR92" s="2"/>
      <c r="AS92" s="2"/>
      <c r="AT92" s="2"/>
      <c r="AU92" s="2"/>
      <c r="AV92" s="2"/>
    </row>
    <row r="93" spans="1:54" x14ac:dyDescent="0.2">
      <c r="C93" s="5"/>
      <c r="AR93" s="2"/>
      <c r="AS93" s="2"/>
      <c r="AT93" s="2"/>
      <c r="AU93" s="2"/>
      <c r="AV93" s="2"/>
    </row>
    <row r="94" spans="1:54" x14ac:dyDescent="0.2">
      <c r="C94" s="5"/>
      <c r="AR94" s="2"/>
      <c r="AS94" s="11"/>
      <c r="AT94" s="11"/>
      <c r="AU94" s="11"/>
      <c r="AV94" s="2"/>
    </row>
    <row r="95" spans="1:54" x14ac:dyDescent="0.2">
      <c r="C95" s="5"/>
    </row>
    <row r="96" spans="1:54" x14ac:dyDescent="0.2">
      <c r="C96" s="5"/>
    </row>
    <row r="97" spans="3:3" x14ac:dyDescent="0.2">
      <c r="C97" s="5"/>
    </row>
    <row r="98" spans="3:3" x14ac:dyDescent="0.2">
      <c r="C98" s="5"/>
    </row>
    <row r="99" spans="3:3" x14ac:dyDescent="0.2">
      <c r="C99" s="5"/>
    </row>
    <row r="100" spans="3:3" x14ac:dyDescent="0.2">
      <c r="C100" s="5"/>
    </row>
    <row r="101" spans="3:3" x14ac:dyDescent="0.2">
      <c r="C101" s="5"/>
    </row>
    <row r="102" spans="3:3" x14ac:dyDescent="0.2">
      <c r="C102" s="5"/>
    </row>
    <row r="103" spans="3:3" x14ac:dyDescent="0.2">
      <c r="C103" s="5"/>
    </row>
    <row r="104" spans="3:3" x14ac:dyDescent="0.2">
      <c r="C104" s="5"/>
    </row>
    <row r="105" spans="3:3" x14ac:dyDescent="0.2">
      <c r="C105" s="5"/>
    </row>
    <row r="106" spans="3:3" x14ac:dyDescent="0.2">
      <c r="C106" s="5"/>
    </row>
    <row r="107" spans="3:3" x14ac:dyDescent="0.2">
      <c r="C107" s="5"/>
    </row>
    <row r="108" spans="3:3" x14ac:dyDescent="0.2">
      <c r="C108" s="5"/>
    </row>
    <row r="109" spans="3:3" x14ac:dyDescent="0.2">
      <c r="C109" s="5"/>
    </row>
    <row r="110" spans="3:3" x14ac:dyDescent="0.2">
      <c r="C110" s="5"/>
    </row>
    <row r="111" spans="3:3" x14ac:dyDescent="0.2">
      <c r="C111" s="5"/>
    </row>
    <row r="112" spans="3:3" x14ac:dyDescent="0.2">
      <c r="C112" s="5"/>
    </row>
    <row r="113" spans="3:3" x14ac:dyDescent="0.2">
      <c r="C113" s="5"/>
    </row>
    <row r="114" spans="3:3" x14ac:dyDescent="0.2">
      <c r="C114" s="5"/>
    </row>
    <row r="115" spans="3:3" x14ac:dyDescent="0.2">
      <c r="C115" s="5"/>
    </row>
    <row r="116" spans="3:3" x14ac:dyDescent="0.2">
      <c r="C116" s="5"/>
    </row>
    <row r="117" spans="3:3" x14ac:dyDescent="0.2">
      <c r="C117" s="5"/>
    </row>
  </sheetData>
  <pageMargins left="0.25" right="0.25" top="0.75" bottom="0.75" header="0.3" footer="0.3"/>
  <pageSetup paperSize="9" scale="83" fitToHeight="0" orientation="landscape" horizontalDpi="4294967292" vertic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501CD-937E-4CA3-B226-B2C2F0C2DA47}">
  <sheetPr published="0">
    <pageSetUpPr fitToPage="1"/>
  </sheetPr>
  <dimension ref="A1:BE117"/>
  <sheetViews>
    <sheetView topLeftCell="G7" zoomScale="70" zoomScaleNormal="70" zoomScalePageLayoutView="85" workbookViewId="0">
      <selection activeCell="AF33" sqref="AF33:AF36"/>
    </sheetView>
  </sheetViews>
  <sheetFormatPr baseColWidth="10" defaultColWidth="11" defaultRowHeight="12.75" x14ac:dyDescent="0.2"/>
  <cols>
    <col min="1" max="1" width="11.25" bestFit="1" customWidth="1"/>
    <col min="2" max="2" width="9.75" customWidth="1"/>
    <col min="3" max="3" width="11.375" customWidth="1"/>
    <col min="4" max="4" width="8.25" customWidth="1"/>
    <col min="5" max="5" width="9.375" customWidth="1"/>
    <col min="6" max="6" width="11.25" customWidth="1"/>
    <col min="7" max="7" width="10.375" customWidth="1"/>
    <col min="8" max="8" width="9.375" customWidth="1"/>
    <col min="9" max="9" width="6.375" customWidth="1"/>
    <col min="10" max="10" width="8.375" customWidth="1"/>
    <col min="11" max="11" width="8.625" customWidth="1"/>
    <col min="12" max="12" width="7" customWidth="1"/>
    <col min="13" max="13" width="8.875" customWidth="1"/>
    <col min="14" max="14" width="8.25" customWidth="1"/>
    <col min="15" max="15" width="10.25" bestFit="1" customWidth="1"/>
    <col min="16" max="16" width="17.25" bestFit="1" customWidth="1"/>
    <col min="17" max="17" width="39.125" customWidth="1"/>
    <col min="18" max="18" width="11" style="2"/>
    <col min="19" max="19" width="8" customWidth="1"/>
    <col min="20" max="20" width="12.375" customWidth="1"/>
    <col min="21" max="21" width="2.625" customWidth="1"/>
    <col min="22" max="22" width="33.75" customWidth="1"/>
    <col min="23" max="23" width="9.375" style="2" customWidth="1"/>
    <col min="24" max="24" width="9.25" customWidth="1"/>
    <col min="25" max="25" width="15" bestFit="1" customWidth="1"/>
    <col min="26" max="26" width="10.375" customWidth="1"/>
    <col min="27" max="27" width="14.5" bestFit="1" customWidth="1"/>
    <col min="28" max="28" width="11.375" customWidth="1"/>
    <col min="29" max="29" width="11.25" bestFit="1" customWidth="1"/>
    <col min="30" max="30" width="8.75" customWidth="1"/>
    <col min="31" max="31" width="12.875" customWidth="1"/>
    <col min="32" max="32" width="13.875" bestFit="1" customWidth="1"/>
    <col min="33" max="33" width="12.375" customWidth="1"/>
    <col min="34" max="34" width="9.25" customWidth="1"/>
    <col min="35" max="35" width="16.75" bestFit="1" customWidth="1"/>
    <col min="36" max="36" width="9.5" bestFit="1" customWidth="1"/>
    <col min="37" max="37" width="9.875" customWidth="1"/>
    <col min="38" max="38" width="10.75" customWidth="1"/>
  </cols>
  <sheetData>
    <row r="1" spans="1:57" ht="19.5" thickBot="1" x14ac:dyDescent="0.35">
      <c r="A1" s="123">
        <v>44865</v>
      </c>
      <c r="B1" s="124"/>
      <c r="C1" s="125" t="s">
        <v>22</v>
      </c>
      <c r="D1" s="125"/>
      <c r="E1" s="125"/>
      <c r="F1" s="126"/>
      <c r="G1" s="127" t="s">
        <v>23</v>
      </c>
      <c r="H1" s="127"/>
      <c r="I1" s="127"/>
      <c r="J1" s="127"/>
      <c r="K1" s="127"/>
      <c r="L1" s="128"/>
      <c r="M1" s="129" t="s">
        <v>6</v>
      </c>
      <c r="N1" s="129"/>
      <c r="O1" s="129"/>
      <c r="P1" s="130" t="s">
        <v>19</v>
      </c>
      <c r="Q1" s="131" t="s">
        <v>11</v>
      </c>
      <c r="R1" s="132" t="s">
        <v>12</v>
      </c>
      <c r="S1" s="133" t="s">
        <v>0</v>
      </c>
      <c r="T1" s="134" t="s">
        <v>13</v>
      </c>
      <c r="U1" s="124"/>
      <c r="V1" s="124"/>
      <c r="W1" s="135"/>
      <c r="X1" s="24"/>
      <c r="Y1" s="136" t="s">
        <v>25</v>
      </c>
      <c r="Z1" s="137" t="s">
        <v>5</v>
      </c>
      <c r="AA1" s="138" t="s">
        <v>26</v>
      </c>
      <c r="AB1" s="138" t="s">
        <v>27</v>
      </c>
      <c r="AC1" s="139" t="s">
        <v>15</v>
      </c>
      <c r="AD1" s="139" t="s">
        <v>16</v>
      </c>
      <c r="AE1" s="139" t="s">
        <v>12</v>
      </c>
      <c r="AF1" s="138" t="s">
        <v>28</v>
      </c>
      <c r="AG1" s="138" t="s">
        <v>29</v>
      </c>
      <c r="AH1" s="140" t="s">
        <v>5</v>
      </c>
      <c r="AI1" s="141" t="s">
        <v>30</v>
      </c>
      <c r="AJ1" s="24"/>
      <c r="AK1" s="301"/>
      <c r="AL1" s="24"/>
      <c r="AM1" s="302"/>
      <c r="AN1" s="16"/>
    </row>
    <row r="2" spans="1:57" s="2" customFormat="1" ht="19.5" thickBot="1" x14ac:dyDescent="0.35">
      <c r="A2" s="142" t="s">
        <v>5</v>
      </c>
      <c r="B2" s="143" t="s">
        <v>20</v>
      </c>
      <c r="C2" s="144">
        <v>6</v>
      </c>
      <c r="D2" s="145">
        <v>12</v>
      </c>
      <c r="E2" s="144">
        <v>21</v>
      </c>
      <c r="F2" s="146" t="s">
        <v>0</v>
      </c>
      <c r="G2" s="147" t="s">
        <v>24</v>
      </c>
      <c r="H2" s="148" t="s">
        <v>1</v>
      </c>
      <c r="I2" s="147" t="s">
        <v>21</v>
      </c>
      <c r="J2" s="147" t="s">
        <v>81</v>
      </c>
      <c r="K2" s="149" t="s">
        <v>2</v>
      </c>
      <c r="L2" s="150" t="s">
        <v>8</v>
      </c>
      <c r="M2" s="151" t="s">
        <v>7</v>
      </c>
      <c r="N2" s="152" t="s">
        <v>4</v>
      </c>
      <c r="O2" s="153" t="s">
        <v>3</v>
      </c>
      <c r="P2" s="154">
        <f>'OCT 2026'!P33</f>
        <v>268.89999999999998</v>
      </c>
      <c r="Q2" s="155"/>
      <c r="R2" s="156"/>
      <c r="S2" s="157"/>
      <c r="T2" s="158"/>
      <c r="U2" s="135"/>
      <c r="V2" s="159"/>
      <c r="W2" s="135"/>
      <c r="X2" s="24"/>
      <c r="Y2" s="160"/>
      <c r="Z2" s="161"/>
      <c r="AA2" s="24"/>
      <c r="AB2" s="162">
        <v>44865</v>
      </c>
      <c r="AC2" s="163"/>
      <c r="AD2" s="163"/>
      <c r="AE2" s="163"/>
      <c r="AF2" s="24"/>
      <c r="AG2" s="24"/>
      <c r="AH2" s="164"/>
      <c r="AI2" s="165"/>
      <c r="AJ2" s="24"/>
      <c r="AK2" s="163"/>
      <c r="AL2" s="24"/>
      <c r="AM2" s="302"/>
      <c r="AN2" s="16"/>
      <c r="AO2"/>
      <c r="AP2"/>
      <c r="AQ2" s="100"/>
      <c r="AR2" s="100"/>
      <c r="AS2" s="100"/>
      <c r="AT2" s="100"/>
      <c r="AU2" s="100"/>
      <c r="AV2" s="100"/>
      <c r="AW2" s="100"/>
      <c r="AX2"/>
      <c r="AZ2"/>
      <c r="BA2"/>
      <c r="BB2"/>
      <c r="BC2" s="20"/>
      <c r="BE2"/>
    </row>
    <row r="3" spans="1:57" ht="16.5" thickBot="1" x14ac:dyDescent="0.3">
      <c r="A3" s="166">
        <v>44865</v>
      </c>
      <c r="B3" s="167"/>
      <c r="C3" s="168"/>
      <c r="D3" s="168"/>
      <c r="E3" s="169"/>
      <c r="F3" s="170">
        <f>SUM(B3:E3)</f>
        <v>0</v>
      </c>
      <c r="G3" s="171">
        <f>F3</f>
        <v>0</v>
      </c>
      <c r="H3" s="168"/>
      <c r="I3" s="168"/>
      <c r="J3" s="169"/>
      <c r="K3" s="172">
        <f t="shared" ref="K3:K33" si="0">SUM(F3-H3-J3-I3)</f>
        <v>0</v>
      </c>
      <c r="L3" s="173">
        <f t="shared" ref="L3:L33" si="1">SUM(F3-H3-J3-I3)</f>
        <v>0</v>
      </c>
      <c r="M3" s="174"/>
      <c r="N3" s="175"/>
      <c r="O3" s="176">
        <f>SUM(L3-M3-N3+P2)</f>
        <v>268.89999999999998</v>
      </c>
      <c r="P3" s="177"/>
      <c r="Q3" s="178"/>
      <c r="R3" s="179"/>
      <c r="S3" s="180"/>
      <c r="T3" s="181"/>
      <c r="U3" s="124"/>
      <c r="V3" s="124"/>
      <c r="W3" s="135"/>
      <c r="X3" s="182">
        <v>1</v>
      </c>
      <c r="Y3" s="310"/>
      <c r="Z3" s="311"/>
      <c r="AA3" s="312"/>
      <c r="AB3" s="312"/>
      <c r="AC3" s="313"/>
      <c r="AD3" s="313"/>
      <c r="AE3" s="314">
        <f t="shared" ref="AE3:AE29" si="2">SUM(AC3:AD3)</f>
        <v>0</v>
      </c>
      <c r="AF3" s="312"/>
      <c r="AG3" s="312"/>
      <c r="AH3" s="315"/>
      <c r="AI3" s="316"/>
      <c r="AJ3" s="314">
        <v>0</v>
      </c>
      <c r="AK3" s="23"/>
      <c r="AL3" s="24"/>
      <c r="AM3" s="302"/>
      <c r="AN3" s="24"/>
      <c r="AQ3" s="100"/>
      <c r="AR3" s="59"/>
      <c r="AS3" s="59"/>
      <c r="AT3" s="59"/>
      <c r="AU3" s="59"/>
      <c r="AV3" s="59"/>
      <c r="AW3" s="100"/>
      <c r="AY3" s="2"/>
      <c r="AZ3" s="2"/>
      <c r="BA3" s="2"/>
      <c r="BB3" s="2"/>
      <c r="BC3" s="20"/>
      <c r="BD3" s="2"/>
    </row>
    <row r="4" spans="1:57" ht="16.5" thickBot="1" x14ac:dyDescent="0.3">
      <c r="A4" s="166">
        <v>44866</v>
      </c>
      <c r="B4" s="190"/>
      <c r="C4" s="179"/>
      <c r="D4" s="179"/>
      <c r="E4" s="175"/>
      <c r="F4" s="170">
        <f t="shared" ref="F4:F33" si="3">SUM(B4:E4)</f>
        <v>0</v>
      </c>
      <c r="G4" s="171">
        <f t="shared" ref="G4:G33" si="4">F4</f>
        <v>0</v>
      </c>
      <c r="H4" s="179"/>
      <c r="I4" s="191"/>
      <c r="J4" s="175"/>
      <c r="K4" s="192">
        <f t="shared" si="0"/>
        <v>0</v>
      </c>
      <c r="L4" s="193">
        <f t="shared" si="1"/>
        <v>0</v>
      </c>
      <c r="M4" s="174"/>
      <c r="N4" s="194"/>
      <c r="O4" s="195">
        <f>SUM(L4-M4-N4+O3+P4)</f>
        <v>268.89999999999998</v>
      </c>
      <c r="P4" s="196"/>
      <c r="Q4" s="197"/>
      <c r="R4" s="179"/>
      <c r="S4" s="198"/>
      <c r="T4" s="199"/>
      <c r="U4" s="124"/>
      <c r="V4" s="124"/>
      <c r="W4" s="135"/>
      <c r="X4" s="182">
        <v>2</v>
      </c>
      <c r="Y4" s="317"/>
      <c r="Z4" s="318"/>
      <c r="AA4" s="319"/>
      <c r="AB4" s="319"/>
      <c r="AC4" s="314"/>
      <c r="AD4" s="314"/>
      <c r="AE4" s="314">
        <f t="shared" si="2"/>
        <v>0</v>
      </c>
      <c r="AF4" s="319"/>
      <c r="AG4" s="319"/>
      <c r="AH4" s="315"/>
      <c r="AI4" s="316"/>
      <c r="AJ4" s="314">
        <f>AE4</f>
        <v>0</v>
      </c>
      <c r="AK4" s="25"/>
      <c r="AL4" s="124"/>
      <c r="AM4" s="124"/>
      <c r="AN4" s="28"/>
      <c r="AQ4" s="100"/>
      <c r="AR4" s="70"/>
      <c r="AS4" s="71"/>
      <c r="AT4" s="71"/>
      <c r="AU4" s="71"/>
      <c r="AV4" s="59"/>
      <c r="AW4" s="100"/>
      <c r="AY4" s="2"/>
      <c r="AZ4" s="2"/>
      <c r="BA4" s="12"/>
      <c r="BB4" s="2"/>
    </row>
    <row r="5" spans="1:57" ht="16.5" thickBot="1" x14ac:dyDescent="0.3">
      <c r="A5" s="166">
        <v>44867</v>
      </c>
      <c r="B5" s="190"/>
      <c r="C5" s="179"/>
      <c r="D5" s="179"/>
      <c r="E5" s="175"/>
      <c r="F5" s="170">
        <f t="shared" si="3"/>
        <v>0</v>
      </c>
      <c r="G5" s="171">
        <f t="shared" si="4"/>
        <v>0</v>
      </c>
      <c r="H5" s="179"/>
      <c r="I5" s="191"/>
      <c r="J5" s="175"/>
      <c r="K5" s="192">
        <f t="shared" si="0"/>
        <v>0</v>
      </c>
      <c r="L5" s="193">
        <f t="shared" si="1"/>
        <v>0</v>
      </c>
      <c r="M5" s="174"/>
      <c r="N5" s="194"/>
      <c r="O5" s="195">
        <f>SUM(L5-M5-N5+O4+P5)</f>
        <v>268.89999999999998</v>
      </c>
      <c r="P5" s="196"/>
      <c r="Q5" s="178"/>
      <c r="R5" s="179"/>
      <c r="S5" s="180"/>
      <c r="T5" s="181"/>
      <c r="U5" s="124"/>
      <c r="V5" s="124"/>
      <c r="W5" s="135"/>
      <c r="X5" s="182">
        <v>3</v>
      </c>
      <c r="Y5" s="317"/>
      <c r="Z5" s="318"/>
      <c r="AA5" s="319"/>
      <c r="AB5" s="319"/>
      <c r="AC5" s="313"/>
      <c r="AD5" s="313"/>
      <c r="AE5" s="314">
        <f t="shared" si="2"/>
        <v>0</v>
      </c>
      <c r="AF5" s="319"/>
      <c r="AG5" s="319"/>
      <c r="AH5" s="315"/>
      <c r="AI5" s="316"/>
      <c r="AJ5" s="314">
        <v>0</v>
      </c>
      <c r="AK5" s="25"/>
      <c r="AL5" s="124"/>
      <c r="AM5" s="124"/>
      <c r="AN5" s="32"/>
      <c r="AQ5" s="100"/>
      <c r="AR5" s="70"/>
      <c r="AS5" s="71"/>
      <c r="AT5" s="71"/>
      <c r="AU5" s="71"/>
      <c r="AV5" s="59"/>
      <c r="AW5" s="100"/>
      <c r="AY5" s="12"/>
      <c r="AZ5" s="2"/>
      <c r="BA5" s="12"/>
      <c r="BB5" s="2"/>
    </row>
    <row r="6" spans="1:57" ht="19.5" thickBot="1" x14ac:dyDescent="0.35">
      <c r="A6" s="166">
        <v>44868</v>
      </c>
      <c r="B6" s="190"/>
      <c r="C6" s="179"/>
      <c r="D6" s="179"/>
      <c r="E6" s="175"/>
      <c r="F6" s="170">
        <f t="shared" si="3"/>
        <v>0</v>
      </c>
      <c r="G6" s="171">
        <f t="shared" si="4"/>
        <v>0</v>
      </c>
      <c r="H6" s="179"/>
      <c r="I6" s="191"/>
      <c r="J6" s="175"/>
      <c r="K6" s="192">
        <f t="shared" si="0"/>
        <v>0</v>
      </c>
      <c r="L6" s="193">
        <f t="shared" si="1"/>
        <v>0</v>
      </c>
      <c r="M6" s="174"/>
      <c r="N6" s="194"/>
      <c r="O6" s="195">
        <f>SUM(L6-M6-N6+O5+P6)</f>
        <v>268.89999999999998</v>
      </c>
      <c r="P6" s="196"/>
      <c r="Q6" s="178"/>
      <c r="R6" s="179"/>
      <c r="S6" s="198"/>
      <c r="T6" s="199"/>
      <c r="U6" s="124"/>
      <c r="V6" s="124"/>
      <c r="W6" s="135"/>
      <c r="X6" s="182">
        <v>4</v>
      </c>
      <c r="Y6" s="310"/>
      <c r="Z6" s="311"/>
      <c r="AA6" s="312"/>
      <c r="AB6" s="320"/>
      <c r="AC6" s="313"/>
      <c r="AD6" s="313"/>
      <c r="AE6" s="314">
        <f t="shared" si="2"/>
        <v>0</v>
      </c>
      <c r="AF6" s="312"/>
      <c r="AG6" s="312"/>
      <c r="AH6" s="315"/>
      <c r="AI6" s="316"/>
      <c r="AJ6" s="314">
        <v>0</v>
      </c>
      <c r="AK6" s="301"/>
      <c r="AL6" s="124"/>
      <c r="AM6" s="124"/>
      <c r="AN6" s="34"/>
      <c r="AQ6" s="100"/>
      <c r="AR6" s="70"/>
      <c r="AS6" s="71"/>
      <c r="AT6" s="71"/>
      <c r="AU6" s="71"/>
      <c r="AV6" s="59"/>
      <c r="AW6" s="100"/>
      <c r="AY6" s="12"/>
      <c r="AZ6" s="2"/>
      <c r="BA6" s="12"/>
      <c r="BB6" s="2"/>
    </row>
    <row r="7" spans="1:57" ht="16.5" thickBot="1" x14ac:dyDescent="0.3">
      <c r="A7" s="166">
        <v>44869</v>
      </c>
      <c r="B7" s="190"/>
      <c r="C7" s="179"/>
      <c r="D7" s="179"/>
      <c r="E7" s="175"/>
      <c r="F7" s="170">
        <f t="shared" si="3"/>
        <v>0</v>
      </c>
      <c r="G7" s="171">
        <f t="shared" si="4"/>
        <v>0</v>
      </c>
      <c r="H7" s="179"/>
      <c r="I7" s="191"/>
      <c r="J7" s="175"/>
      <c r="K7" s="192">
        <f t="shared" si="0"/>
        <v>0</v>
      </c>
      <c r="L7" s="193">
        <f t="shared" si="1"/>
        <v>0</v>
      </c>
      <c r="M7" s="174"/>
      <c r="N7" s="194"/>
      <c r="O7" s="195">
        <f>SUM(L7-M7-N7+O6+P7)</f>
        <v>268.89999999999998</v>
      </c>
      <c r="P7" s="196"/>
      <c r="Q7" s="178"/>
      <c r="R7" s="179"/>
      <c r="S7" s="180"/>
      <c r="T7" s="199"/>
      <c r="U7" s="124"/>
      <c r="V7" s="124"/>
      <c r="W7" s="135"/>
      <c r="X7" s="182">
        <v>5</v>
      </c>
      <c r="Y7" s="317"/>
      <c r="Z7" s="318"/>
      <c r="AA7" s="319"/>
      <c r="AB7" s="319"/>
      <c r="AC7" s="314"/>
      <c r="AD7" s="314"/>
      <c r="AE7" s="314">
        <f t="shared" si="2"/>
        <v>0</v>
      </c>
      <c r="AF7" s="319"/>
      <c r="AG7" s="312"/>
      <c r="AH7" s="315"/>
      <c r="AI7" s="316"/>
      <c r="AJ7" s="314">
        <v>0</v>
      </c>
      <c r="AK7" s="23"/>
      <c r="AL7" s="124"/>
      <c r="AM7" s="124"/>
      <c r="AN7" s="24"/>
      <c r="AQ7" s="100"/>
      <c r="AR7" s="70"/>
      <c r="AS7" s="59"/>
      <c r="AT7" s="59"/>
      <c r="AU7" s="71"/>
      <c r="AV7" s="59"/>
      <c r="AW7" s="100"/>
      <c r="AY7" s="2"/>
      <c r="AZ7" s="2"/>
      <c r="BA7" s="12"/>
      <c r="BB7" s="2"/>
    </row>
    <row r="8" spans="1:57" ht="19.5" thickBot="1" x14ac:dyDescent="0.35">
      <c r="A8" s="166">
        <v>44870</v>
      </c>
      <c r="B8" s="190"/>
      <c r="C8" s="179"/>
      <c r="D8" s="179"/>
      <c r="E8" s="175"/>
      <c r="F8" s="170">
        <f t="shared" si="3"/>
        <v>0</v>
      </c>
      <c r="G8" s="171">
        <f t="shared" si="4"/>
        <v>0</v>
      </c>
      <c r="H8" s="179"/>
      <c r="I8" s="191"/>
      <c r="J8" s="175"/>
      <c r="K8" s="192">
        <f t="shared" si="0"/>
        <v>0</v>
      </c>
      <c r="L8" s="193">
        <f t="shared" si="1"/>
        <v>0</v>
      </c>
      <c r="M8" s="209"/>
      <c r="N8" s="194"/>
      <c r="O8" s="195">
        <f>SUM(L8-M8-N8+O7+P8)</f>
        <v>268.89999999999998</v>
      </c>
      <c r="P8" s="196"/>
      <c r="Q8" s="178"/>
      <c r="R8" s="179"/>
      <c r="S8" s="180"/>
      <c r="T8" s="199"/>
      <c r="U8" s="124"/>
      <c r="V8" s="124"/>
      <c r="W8" s="135"/>
      <c r="X8" s="182">
        <v>6</v>
      </c>
      <c r="Y8" s="310"/>
      <c r="Z8" s="311"/>
      <c r="AA8" s="312"/>
      <c r="AB8" s="312"/>
      <c r="AC8" s="313"/>
      <c r="AD8" s="313"/>
      <c r="AE8" s="314">
        <f t="shared" si="2"/>
        <v>0</v>
      </c>
      <c r="AF8" s="319"/>
      <c r="AG8" s="312"/>
      <c r="AH8" s="315"/>
      <c r="AI8" s="316"/>
      <c r="AJ8" s="314">
        <v>0</v>
      </c>
      <c r="AK8" s="163"/>
      <c r="AL8" s="124"/>
      <c r="AM8" s="124"/>
      <c r="AN8" s="34"/>
      <c r="AQ8" s="100"/>
      <c r="AR8" s="59"/>
      <c r="AS8" s="71"/>
      <c r="AT8" s="71"/>
      <c r="AU8" s="71"/>
      <c r="AV8" s="59"/>
      <c r="AW8" s="100"/>
      <c r="AY8" s="2"/>
      <c r="AZ8" s="2"/>
      <c r="BA8" s="2"/>
      <c r="BB8" s="2"/>
    </row>
    <row r="9" spans="1:57" ht="16.5" thickBot="1" x14ac:dyDescent="0.3">
      <c r="A9" s="166">
        <v>44871</v>
      </c>
      <c r="B9" s="190"/>
      <c r="C9" s="179"/>
      <c r="D9" s="179"/>
      <c r="E9" s="175"/>
      <c r="F9" s="170">
        <f t="shared" si="3"/>
        <v>0</v>
      </c>
      <c r="G9" s="171">
        <f t="shared" si="4"/>
        <v>0</v>
      </c>
      <c r="H9" s="179"/>
      <c r="I9" s="191"/>
      <c r="J9" s="175"/>
      <c r="K9" s="192">
        <f t="shared" si="0"/>
        <v>0</v>
      </c>
      <c r="L9" s="193">
        <f t="shared" si="1"/>
        <v>0</v>
      </c>
      <c r="M9" s="174"/>
      <c r="N9" s="194"/>
      <c r="O9" s="195">
        <f t="shared" ref="O9:O33" si="5">SUM(L9-M9-N9+O8)</f>
        <v>268.89999999999998</v>
      </c>
      <c r="P9" s="196"/>
      <c r="Q9" s="178"/>
      <c r="R9" s="179"/>
      <c r="S9" s="180"/>
      <c r="T9" s="199"/>
      <c r="U9" s="124"/>
      <c r="V9" s="124"/>
      <c r="W9" s="135"/>
      <c r="X9" s="182">
        <v>7</v>
      </c>
      <c r="Y9" s="200"/>
      <c r="Z9" s="201"/>
      <c r="AA9" s="182"/>
      <c r="AB9" s="182"/>
      <c r="AC9" s="210"/>
      <c r="AD9" s="210"/>
      <c r="AE9" s="108">
        <f t="shared" si="2"/>
        <v>0</v>
      </c>
      <c r="AF9" s="182"/>
      <c r="AG9" s="182"/>
      <c r="AH9" s="202"/>
      <c r="AI9" s="203"/>
      <c r="AJ9" s="108">
        <f>AE9</f>
        <v>0</v>
      </c>
      <c r="AK9" s="163"/>
      <c r="AL9" s="124"/>
      <c r="AM9" s="124"/>
      <c r="AN9" s="24"/>
      <c r="AQ9" s="100"/>
      <c r="AR9" s="70"/>
      <c r="AS9" s="59"/>
      <c r="AT9" s="59"/>
      <c r="AU9" s="59"/>
      <c r="AV9" s="59"/>
      <c r="AW9" s="100"/>
      <c r="AY9" s="2"/>
      <c r="AZ9" s="2"/>
      <c r="BA9" s="2"/>
      <c r="BB9" s="2"/>
    </row>
    <row r="10" spans="1:57" ht="19.5" thickBot="1" x14ac:dyDescent="0.35">
      <c r="A10" s="166">
        <v>44872</v>
      </c>
      <c r="B10" s="190"/>
      <c r="C10" s="179"/>
      <c r="D10" s="179"/>
      <c r="E10" s="175"/>
      <c r="F10" s="170">
        <f t="shared" si="3"/>
        <v>0</v>
      </c>
      <c r="G10" s="171">
        <f t="shared" si="4"/>
        <v>0</v>
      </c>
      <c r="H10" s="179"/>
      <c r="I10" s="191"/>
      <c r="J10" s="175"/>
      <c r="K10" s="192">
        <f t="shared" si="0"/>
        <v>0</v>
      </c>
      <c r="L10" s="193">
        <f t="shared" si="1"/>
        <v>0</v>
      </c>
      <c r="M10" s="174"/>
      <c r="N10" s="194"/>
      <c r="O10" s="195">
        <f t="shared" si="5"/>
        <v>268.89999999999998</v>
      </c>
      <c r="P10" s="196"/>
      <c r="Q10" s="178"/>
      <c r="R10" s="179"/>
      <c r="S10" s="180"/>
      <c r="T10" s="199"/>
      <c r="U10" s="124"/>
      <c r="V10" s="124"/>
      <c r="W10" s="135"/>
      <c r="X10" s="182">
        <v>8</v>
      </c>
      <c r="Y10" s="200"/>
      <c r="Z10" s="201"/>
      <c r="AA10" s="182"/>
      <c r="AB10" s="182"/>
      <c r="AC10" s="210"/>
      <c r="AD10" s="210"/>
      <c r="AE10" s="108">
        <f t="shared" si="2"/>
        <v>0</v>
      </c>
      <c r="AF10" s="182"/>
      <c r="AG10" s="182"/>
      <c r="AH10" s="202"/>
      <c r="AI10" s="203"/>
      <c r="AJ10" s="108">
        <f t="shared" ref="AJ10:AJ29" si="6">AE10</f>
        <v>0</v>
      </c>
      <c r="AK10" s="163"/>
      <c r="AL10" s="124"/>
      <c r="AM10" s="124"/>
      <c r="AN10" s="22"/>
      <c r="AQ10" s="100"/>
      <c r="AR10" s="59"/>
      <c r="AS10" s="59"/>
      <c r="AT10" s="59"/>
      <c r="AU10" s="59"/>
      <c r="AV10" s="59"/>
      <c r="AW10" s="100"/>
      <c r="AY10" s="2"/>
      <c r="AZ10" s="2"/>
      <c r="BA10" s="2"/>
      <c r="BB10" s="2"/>
    </row>
    <row r="11" spans="1:57" ht="19.5" thickBot="1" x14ac:dyDescent="0.35">
      <c r="A11" s="166">
        <v>44873</v>
      </c>
      <c r="B11" s="190"/>
      <c r="C11" s="179"/>
      <c r="D11" s="179"/>
      <c r="E11" s="175"/>
      <c r="F11" s="170">
        <f t="shared" si="3"/>
        <v>0</v>
      </c>
      <c r="G11" s="171">
        <f t="shared" si="4"/>
        <v>0</v>
      </c>
      <c r="H11" s="179"/>
      <c r="I11" s="191"/>
      <c r="J11" s="175"/>
      <c r="K11" s="192">
        <f t="shared" si="0"/>
        <v>0</v>
      </c>
      <c r="L11" s="193">
        <f t="shared" si="1"/>
        <v>0</v>
      </c>
      <c r="M11" s="174"/>
      <c r="N11" s="194"/>
      <c r="O11" s="195">
        <f t="shared" si="5"/>
        <v>268.89999999999998</v>
      </c>
      <c r="P11" s="196"/>
      <c r="Q11" s="211"/>
      <c r="R11" s="212"/>
      <c r="S11" s="198"/>
      <c r="T11" s="213"/>
      <c r="U11" s="124"/>
      <c r="V11" s="124"/>
      <c r="W11" s="135"/>
      <c r="X11" s="182">
        <v>9</v>
      </c>
      <c r="Y11" s="200"/>
      <c r="Z11" s="201"/>
      <c r="AA11" s="182"/>
      <c r="AB11" s="182"/>
      <c r="AC11" s="108"/>
      <c r="AD11" s="108"/>
      <c r="AE11" s="108">
        <f t="shared" si="2"/>
        <v>0</v>
      </c>
      <c r="AF11" s="182"/>
      <c r="AG11" s="182"/>
      <c r="AH11" s="202"/>
      <c r="AI11" s="203"/>
      <c r="AJ11" s="108">
        <f t="shared" si="6"/>
        <v>0</v>
      </c>
      <c r="AK11" s="163"/>
      <c r="AL11" s="124"/>
      <c r="AM11" s="124"/>
      <c r="AN11" s="22"/>
      <c r="AQ11" s="100"/>
      <c r="AR11" s="59"/>
      <c r="AS11" s="59"/>
      <c r="AT11" s="59"/>
      <c r="AU11" s="59"/>
      <c r="AV11" s="75"/>
      <c r="AW11" s="100"/>
      <c r="AY11" s="2"/>
      <c r="AZ11" s="2"/>
      <c r="BA11" s="2"/>
      <c r="BB11" s="2"/>
    </row>
    <row r="12" spans="1:57" ht="19.5" thickBot="1" x14ac:dyDescent="0.35">
      <c r="A12" s="166">
        <v>44874</v>
      </c>
      <c r="B12" s="190"/>
      <c r="C12" s="179"/>
      <c r="D12" s="179"/>
      <c r="E12" s="175"/>
      <c r="F12" s="170">
        <f t="shared" si="3"/>
        <v>0</v>
      </c>
      <c r="G12" s="171">
        <f t="shared" si="4"/>
        <v>0</v>
      </c>
      <c r="H12" s="179"/>
      <c r="I12" s="191"/>
      <c r="J12" s="175"/>
      <c r="K12" s="192">
        <f t="shared" si="0"/>
        <v>0</v>
      </c>
      <c r="L12" s="193">
        <f t="shared" si="1"/>
        <v>0</v>
      </c>
      <c r="M12" s="214"/>
      <c r="N12" s="194"/>
      <c r="O12" s="195">
        <f t="shared" si="5"/>
        <v>268.89999999999998</v>
      </c>
      <c r="P12" s="196"/>
      <c r="Q12" s="211"/>
      <c r="R12" s="212"/>
      <c r="S12" s="198"/>
      <c r="T12" s="213"/>
      <c r="U12" s="124"/>
      <c r="V12" s="124"/>
      <c r="W12" s="135"/>
      <c r="X12" s="182">
        <v>10</v>
      </c>
      <c r="Y12" s="200"/>
      <c r="Z12" s="201"/>
      <c r="AA12" s="182"/>
      <c r="AB12" s="182"/>
      <c r="AC12" s="108"/>
      <c r="AD12" s="108"/>
      <c r="AE12" s="108">
        <f t="shared" si="2"/>
        <v>0</v>
      </c>
      <c r="AF12" s="182"/>
      <c r="AG12" s="182"/>
      <c r="AH12" s="202"/>
      <c r="AI12" s="203"/>
      <c r="AJ12" s="108">
        <f t="shared" si="6"/>
        <v>0</v>
      </c>
      <c r="AK12" s="163"/>
      <c r="AL12" s="124"/>
      <c r="AM12" s="124"/>
      <c r="AN12" s="22"/>
      <c r="AQ12" s="100"/>
      <c r="AR12" s="75"/>
      <c r="AS12" s="59"/>
      <c r="AT12" s="59"/>
      <c r="AU12" s="59"/>
      <c r="AV12" s="75"/>
      <c r="AW12" s="100"/>
      <c r="AY12" s="2"/>
      <c r="AZ12" s="2"/>
      <c r="BA12" s="2"/>
      <c r="BB12" s="2"/>
    </row>
    <row r="13" spans="1:57" ht="19.5" thickBot="1" x14ac:dyDescent="0.35">
      <c r="A13" s="166">
        <v>44875</v>
      </c>
      <c r="B13" s="190"/>
      <c r="C13" s="179"/>
      <c r="D13" s="179"/>
      <c r="E13" s="175"/>
      <c r="F13" s="170">
        <f t="shared" si="3"/>
        <v>0</v>
      </c>
      <c r="G13" s="171">
        <f t="shared" si="4"/>
        <v>0</v>
      </c>
      <c r="H13" s="179"/>
      <c r="I13" s="191"/>
      <c r="J13" s="175"/>
      <c r="K13" s="192">
        <f t="shared" si="0"/>
        <v>0</v>
      </c>
      <c r="L13" s="193">
        <f t="shared" si="1"/>
        <v>0</v>
      </c>
      <c r="M13" s="174"/>
      <c r="N13" s="194"/>
      <c r="O13" s="195">
        <f t="shared" si="5"/>
        <v>268.89999999999998</v>
      </c>
      <c r="P13" s="196"/>
      <c r="Q13" s="215"/>
      <c r="R13" s="212"/>
      <c r="S13" s="198"/>
      <c r="T13" s="199"/>
      <c r="U13" s="124"/>
      <c r="V13" s="124"/>
      <c r="W13" s="135"/>
      <c r="X13" s="182">
        <v>11</v>
      </c>
      <c r="Y13" s="200"/>
      <c r="Z13" s="201"/>
      <c r="AA13" s="182"/>
      <c r="AB13" s="182"/>
      <c r="AC13" s="108"/>
      <c r="AD13" s="108"/>
      <c r="AE13" s="108">
        <f t="shared" si="2"/>
        <v>0</v>
      </c>
      <c r="AF13" s="182"/>
      <c r="AG13" s="216"/>
      <c r="AH13" s="202"/>
      <c r="AI13" s="203"/>
      <c r="AJ13" s="108">
        <f t="shared" si="6"/>
        <v>0</v>
      </c>
      <c r="AK13" s="301"/>
      <c r="AL13" s="124"/>
      <c r="AM13" s="124"/>
      <c r="AN13" s="16"/>
      <c r="AQ13" s="100"/>
      <c r="AR13" s="75"/>
      <c r="AS13" s="59"/>
      <c r="AT13" s="59"/>
      <c r="AU13" s="59"/>
      <c r="AV13" s="75"/>
      <c r="AW13" s="100"/>
    </row>
    <row r="14" spans="1:57" ht="19.5" thickBot="1" x14ac:dyDescent="0.35">
      <c r="A14" s="166">
        <v>44876</v>
      </c>
      <c r="B14" s="190"/>
      <c r="C14" s="179"/>
      <c r="D14" s="179"/>
      <c r="E14" s="175"/>
      <c r="F14" s="170">
        <f t="shared" si="3"/>
        <v>0</v>
      </c>
      <c r="G14" s="171">
        <f t="shared" si="4"/>
        <v>0</v>
      </c>
      <c r="H14" s="179"/>
      <c r="I14" s="191"/>
      <c r="J14" s="175"/>
      <c r="K14" s="192">
        <f t="shared" si="0"/>
        <v>0</v>
      </c>
      <c r="L14" s="193">
        <f t="shared" si="1"/>
        <v>0</v>
      </c>
      <c r="M14" s="174"/>
      <c r="N14" s="194"/>
      <c r="O14" s="195">
        <f t="shared" si="5"/>
        <v>268.89999999999998</v>
      </c>
      <c r="P14" s="196"/>
      <c r="Q14" s="215"/>
      <c r="R14" s="212"/>
      <c r="S14" s="198"/>
      <c r="T14" s="199"/>
      <c r="U14" s="124"/>
      <c r="V14" s="124"/>
      <c r="W14" s="135"/>
      <c r="X14" s="182">
        <v>12</v>
      </c>
      <c r="Y14" s="217"/>
      <c r="Z14" s="201"/>
      <c r="AA14" s="182"/>
      <c r="AB14" s="182"/>
      <c r="AC14" s="210"/>
      <c r="AD14" s="210"/>
      <c r="AE14" s="108">
        <f t="shared" si="2"/>
        <v>0</v>
      </c>
      <c r="AF14" s="182"/>
      <c r="AG14" s="216"/>
      <c r="AH14" s="202"/>
      <c r="AI14" s="203"/>
      <c r="AJ14" s="108">
        <f t="shared" si="6"/>
        <v>0</v>
      </c>
      <c r="AK14" s="301"/>
      <c r="AL14" s="124"/>
      <c r="AM14" s="124"/>
      <c r="AN14" s="16"/>
      <c r="AO14" s="4"/>
      <c r="AQ14" s="100"/>
      <c r="AR14" s="59"/>
      <c r="AS14" s="59"/>
      <c r="AT14" s="59"/>
      <c r="AU14" s="59"/>
      <c r="AV14" s="75"/>
      <c r="AW14" s="100"/>
    </row>
    <row r="15" spans="1:57" ht="19.5" thickBot="1" x14ac:dyDescent="0.35">
      <c r="A15" s="166">
        <v>44877</v>
      </c>
      <c r="B15" s="190"/>
      <c r="C15" s="179"/>
      <c r="D15" s="179"/>
      <c r="E15" s="175"/>
      <c r="F15" s="170">
        <f t="shared" si="3"/>
        <v>0</v>
      </c>
      <c r="G15" s="171">
        <f t="shared" si="4"/>
        <v>0</v>
      </c>
      <c r="H15" s="179"/>
      <c r="I15" s="191"/>
      <c r="J15" s="175"/>
      <c r="K15" s="192">
        <f t="shared" si="0"/>
        <v>0</v>
      </c>
      <c r="L15" s="193">
        <f t="shared" si="1"/>
        <v>0</v>
      </c>
      <c r="M15" s="174"/>
      <c r="N15" s="194"/>
      <c r="O15" s="195">
        <f t="shared" si="5"/>
        <v>268.89999999999998</v>
      </c>
      <c r="P15" s="196"/>
      <c r="Q15" s="218"/>
      <c r="R15" s="179"/>
      <c r="S15" s="180"/>
      <c r="T15" s="199"/>
      <c r="U15" s="124"/>
      <c r="V15" s="124"/>
      <c r="W15" s="135"/>
      <c r="X15" s="182">
        <v>13</v>
      </c>
      <c r="Y15" s="200"/>
      <c r="Z15" s="201"/>
      <c r="AA15" s="182"/>
      <c r="AB15" s="182"/>
      <c r="AC15" s="210"/>
      <c r="AD15" s="210"/>
      <c r="AE15" s="108">
        <f t="shared" si="2"/>
        <v>0</v>
      </c>
      <c r="AF15" s="182"/>
      <c r="AG15" s="182"/>
      <c r="AH15" s="202"/>
      <c r="AI15" s="203"/>
      <c r="AJ15" s="108">
        <f t="shared" si="6"/>
        <v>0</v>
      </c>
      <c r="AK15" s="301"/>
      <c r="AL15" s="124"/>
      <c r="AM15" s="124"/>
      <c r="AN15" s="16"/>
      <c r="AQ15" s="100"/>
      <c r="AR15" s="59"/>
      <c r="AS15" s="59"/>
      <c r="AT15" s="59"/>
      <c r="AU15" s="59"/>
      <c r="AV15" s="75"/>
      <c r="AW15" s="100"/>
    </row>
    <row r="16" spans="1:57" ht="19.5" thickBot="1" x14ac:dyDescent="0.35">
      <c r="A16" s="166">
        <v>44878</v>
      </c>
      <c r="B16" s="190"/>
      <c r="C16" s="179"/>
      <c r="D16" s="179"/>
      <c r="E16" s="175"/>
      <c r="F16" s="170">
        <f t="shared" si="3"/>
        <v>0</v>
      </c>
      <c r="G16" s="171">
        <f t="shared" si="4"/>
        <v>0</v>
      </c>
      <c r="H16" s="179"/>
      <c r="I16" s="191"/>
      <c r="J16" s="175"/>
      <c r="K16" s="192">
        <f t="shared" si="0"/>
        <v>0</v>
      </c>
      <c r="L16" s="193">
        <f t="shared" si="1"/>
        <v>0</v>
      </c>
      <c r="M16" s="209"/>
      <c r="N16" s="194"/>
      <c r="O16" s="195">
        <f t="shared" si="5"/>
        <v>268.89999999999998</v>
      </c>
      <c r="P16" s="196"/>
      <c r="Q16" s="219"/>
      <c r="R16" s="179"/>
      <c r="S16" s="180"/>
      <c r="T16" s="199"/>
      <c r="U16" s="124"/>
      <c r="V16" s="124"/>
      <c r="W16" s="135"/>
      <c r="X16" s="182">
        <v>14</v>
      </c>
      <c r="Y16" s="200"/>
      <c r="Z16" s="201"/>
      <c r="AA16" s="182"/>
      <c r="AB16" s="182"/>
      <c r="AC16" s="210"/>
      <c r="AD16" s="210"/>
      <c r="AE16" s="108">
        <f t="shared" si="2"/>
        <v>0</v>
      </c>
      <c r="AF16" s="182"/>
      <c r="AG16" s="182"/>
      <c r="AH16" s="202"/>
      <c r="AI16" s="203"/>
      <c r="AJ16" s="108">
        <f t="shared" si="6"/>
        <v>0</v>
      </c>
      <c r="AK16" s="301"/>
      <c r="AL16" s="124"/>
      <c r="AM16" s="124"/>
      <c r="AN16" s="16"/>
      <c r="AQ16" s="100"/>
      <c r="AR16" s="59"/>
      <c r="AS16" s="59"/>
      <c r="AT16" s="59"/>
      <c r="AU16" s="59"/>
      <c r="AV16" s="75"/>
      <c r="AW16" s="100"/>
    </row>
    <row r="17" spans="1:54" ht="19.5" thickBot="1" x14ac:dyDescent="0.35">
      <c r="A17" s="166">
        <v>44879</v>
      </c>
      <c r="B17" s="190"/>
      <c r="C17" s="179"/>
      <c r="D17" s="179"/>
      <c r="E17" s="175"/>
      <c r="F17" s="170">
        <f t="shared" si="3"/>
        <v>0</v>
      </c>
      <c r="G17" s="171">
        <f t="shared" si="4"/>
        <v>0</v>
      </c>
      <c r="H17" s="179"/>
      <c r="I17" s="191"/>
      <c r="J17" s="175"/>
      <c r="K17" s="192">
        <f t="shared" si="0"/>
        <v>0</v>
      </c>
      <c r="L17" s="193">
        <f t="shared" si="1"/>
        <v>0</v>
      </c>
      <c r="M17" s="209"/>
      <c r="N17" s="194"/>
      <c r="O17" s="195">
        <f>SUM(L17-M17-N17+O16+P17)</f>
        <v>268.89999999999998</v>
      </c>
      <c r="P17" s="196"/>
      <c r="Q17" s="218"/>
      <c r="R17" s="179"/>
      <c r="S17" s="180"/>
      <c r="T17" s="199"/>
      <c r="U17" s="124"/>
      <c r="V17" s="124"/>
      <c r="W17" s="135"/>
      <c r="X17" s="182">
        <v>15</v>
      </c>
      <c r="Y17" s="200"/>
      <c r="Z17" s="201"/>
      <c r="AA17" s="182"/>
      <c r="AB17" s="182"/>
      <c r="AC17" s="210"/>
      <c r="AD17" s="210"/>
      <c r="AE17" s="108">
        <f t="shared" si="2"/>
        <v>0</v>
      </c>
      <c r="AF17" s="182"/>
      <c r="AG17" s="216"/>
      <c r="AH17" s="202"/>
      <c r="AI17" s="203"/>
      <c r="AJ17" s="108">
        <f t="shared" si="6"/>
        <v>0</v>
      </c>
      <c r="AK17" s="301"/>
      <c r="AL17" s="124"/>
      <c r="AM17" s="124"/>
      <c r="AN17" s="16"/>
      <c r="AQ17" s="100"/>
      <c r="AR17" s="59"/>
      <c r="AS17" s="59"/>
      <c r="AT17" s="59"/>
      <c r="AU17" s="59"/>
      <c r="AV17" s="75"/>
      <c r="AW17" s="100"/>
    </row>
    <row r="18" spans="1:54" ht="19.5" thickBot="1" x14ac:dyDescent="0.35">
      <c r="A18" s="166">
        <v>44880</v>
      </c>
      <c r="B18" s="190"/>
      <c r="C18" s="179"/>
      <c r="D18" s="179"/>
      <c r="E18" s="175"/>
      <c r="F18" s="170">
        <f t="shared" si="3"/>
        <v>0</v>
      </c>
      <c r="G18" s="171">
        <f t="shared" si="4"/>
        <v>0</v>
      </c>
      <c r="H18" s="179"/>
      <c r="I18" s="191"/>
      <c r="J18" s="175"/>
      <c r="K18" s="192">
        <f t="shared" si="0"/>
        <v>0</v>
      </c>
      <c r="L18" s="193">
        <f t="shared" si="1"/>
        <v>0</v>
      </c>
      <c r="M18" s="174"/>
      <c r="N18" s="220"/>
      <c r="O18" s="195">
        <f>SUM(L18-M18-N18+O17+P18)</f>
        <v>268.89999999999998</v>
      </c>
      <c r="P18" s="196"/>
      <c r="Q18" s="218"/>
      <c r="R18" s="179"/>
      <c r="S18" s="180"/>
      <c r="T18" s="199"/>
      <c r="U18" s="124"/>
      <c r="V18" s="124"/>
      <c r="W18" s="135"/>
      <c r="X18" s="182">
        <v>16</v>
      </c>
      <c r="Y18" s="200"/>
      <c r="Z18" s="201"/>
      <c r="AA18" s="182"/>
      <c r="AB18" s="182"/>
      <c r="AC18" s="108"/>
      <c r="AD18" s="108"/>
      <c r="AE18" s="108">
        <f t="shared" si="2"/>
        <v>0</v>
      </c>
      <c r="AF18" s="182"/>
      <c r="AG18" s="182"/>
      <c r="AH18" s="202"/>
      <c r="AI18" s="203"/>
      <c r="AJ18" s="108">
        <f t="shared" si="6"/>
        <v>0</v>
      </c>
      <c r="AK18" s="301"/>
      <c r="AL18" s="124"/>
      <c r="AM18" s="124"/>
      <c r="AN18" s="16"/>
      <c r="AQ18" s="100"/>
      <c r="AR18" s="59"/>
      <c r="AS18" s="59"/>
      <c r="AT18" s="59"/>
      <c r="AU18" s="59"/>
      <c r="AV18" s="59"/>
      <c r="AW18" s="100"/>
    </row>
    <row r="19" spans="1:54" ht="19.5" thickBot="1" x14ac:dyDescent="0.35">
      <c r="A19" s="166">
        <v>44881</v>
      </c>
      <c r="B19" s="190"/>
      <c r="C19" s="179"/>
      <c r="D19" s="179"/>
      <c r="E19" s="175"/>
      <c r="F19" s="170">
        <f t="shared" si="3"/>
        <v>0</v>
      </c>
      <c r="G19" s="171">
        <f t="shared" si="4"/>
        <v>0</v>
      </c>
      <c r="H19" s="179"/>
      <c r="I19" s="191"/>
      <c r="J19" s="175"/>
      <c r="K19" s="192">
        <f t="shared" si="0"/>
        <v>0</v>
      </c>
      <c r="L19" s="193">
        <f t="shared" si="1"/>
        <v>0</v>
      </c>
      <c r="M19" s="174"/>
      <c r="N19" s="194"/>
      <c r="O19" s="195">
        <f>SUM(L19-M19-N19+O18+P19)</f>
        <v>268.89999999999998</v>
      </c>
      <c r="P19" s="196"/>
      <c r="Q19" s="218"/>
      <c r="R19" s="179"/>
      <c r="S19" s="180"/>
      <c r="T19" s="199"/>
      <c r="U19" s="124"/>
      <c r="V19" s="124"/>
      <c r="W19" s="135"/>
      <c r="X19" s="182">
        <v>17</v>
      </c>
      <c r="Y19" s="200"/>
      <c r="Z19" s="201"/>
      <c r="AA19" s="182"/>
      <c r="AB19" s="182"/>
      <c r="AC19" s="210"/>
      <c r="AD19" s="210"/>
      <c r="AE19" s="108">
        <f t="shared" si="2"/>
        <v>0</v>
      </c>
      <c r="AF19" s="208"/>
      <c r="AG19" s="182"/>
      <c r="AH19" s="202"/>
      <c r="AI19" s="203"/>
      <c r="AJ19" s="108">
        <f t="shared" si="6"/>
        <v>0</v>
      </c>
      <c r="AK19" s="301"/>
      <c r="AL19" s="124"/>
      <c r="AM19" s="124"/>
      <c r="AN19" s="16"/>
      <c r="AQ19" s="100"/>
      <c r="AR19" s="59"/>
      <c r="AS19" s="59"/>
      <c r="AT19" s="59"/>
      <c r="AU19" s="59"/>
      <c r="AV19" s="59"/>
      <c r="AW19" s="100"/>
    </row>
    <row r="20" spans="1:54" ht="19.5" thickBot="1" x14ac:dyDescent="0.35">
      <c r="A20" s="166">
        <v>44882</v>
      </c>
      <c r="B20" s="190"/>
      <c r="C20" s="179"/>
      <c r="D20" s="179"/>
      <c r="E20" s="175"/>
      <c r="F20" s="170">
        <f t="shared" si="3"/>
        <v>0</v>
      </c>
      <c r="G20" s="171">
        <f t="shared" si="4"/>
        <v>0</v>
      </c>
      <c r="H20" s="179"/>
      <c r="I20" s="191"/>
      <c r="J20" s="175"/>
      <c r="K20" s="192">
        <f t="shared" si="0"/>
        <v>0</v>
      </c>
      <c r="L20" s="193">
        <f t="shared" si="1"/>
        <v>0</v>
      </c>
      <c r="M20" s="174"/>
      <c r="N20" s="194"/>
      <c r="O20" s="195">
        <f>SUM(L20-M20-N20+O19+P20)</f>
        <v>268.89999999999998</v>
      </c>
      <c r="P20" s="196"/>
      <c r="Q20" s="218"/>
      <c r="R20" s="179"/>
      <c r="S20" s="180"/>
      <c r="T20" s="199"/>
      <c r="U20" s="124"/>
      <c r="V20" s="124"/>
      <c r="W20" s="135"/>
      <c r="X20" s="182">
        <v>18</v>
      </c>
      <c r="Y20" s="200"/>
      <c r="Z20" s="201"/>
      <c r="AA20" s="182"/>
      <c r="AB20" s="182"/>
      <c r="AC20" s="210"/>
      <c r="AD20" s="210"/>
      <c r="AE20" s="108">
        <f t="shared" si="2"/>
        <v>0</v>
      </c>
      <c r="AF20" s="182"/>
      <c r="AG20" s="216"/>
      <c r="AH20" s="202"/>
      <c r="AI20" s="203"/>
      <c r="AJ20" s="108">
        <f t="shared" si="6"/>
        <v>0</v>
      </c>
      <c r="AK20" s="301"/>
      <c r="AL20" s="124"/>
      <c r="AM20" s="124"/>
      <c r="AN20" s="22"/>
      <c r="AQ20" s="100"/>
      <c r="AR20" s="59"/>
      <c r="AS20" s="59"/>
      <c r="AT20" s="59"/>
      <c r="AU20" s="59"/>
      <c r="AV20" s="59"/>
      <c r="AW20" s="100"/>
    </row>
    <row r="21" spans="1:54" ht="19.5" thickBot="1" x14ac:dyDescent="0.35">
      <c r="A21" s="166">
        <v>44883</v>
      </c>
      <c r="B21" s="190"/>
      <c r="C21" s="179"/>
      <c r="D21" s="179"/>
      <c r="E21" s="175"/>
      <c r="F21" s="170">
        <f t="shared" si="3"/>
        <v>0</v>
      </c>
      <c r="G21" s="171">
        <f t="shared" si="4"/>
        <v>0</v>
      </c>
      <c r="H21" s="179"/>
      <c r="I21" s="191"/>
      <c r="J21" s="175"/>
      <c r="K21" s="192">
        <f t="shared" si="0"/>
        <v>0</v>
      </c>
      <c r="L21" s="193">
        <f t="shared" si="1"/>
        <v>0</v>
      </c>
      <c r="M21" s="174"/>
      <c r="N21" s="194"/>
      <c r="O21" s="195">
        <f t="shared" si="5"/>
        <v>268.89999999999998</v>
      </c>
      <c r="P21" s="196"/>
      <c r="Q21" s="218"/>
      <c r="R21" s="179"/>
      <c r="S21" s="180"/>
      <c r="T21" s="199"/>
      <c r="U21" s="124"/>
      <c r="V21" s="124"/>
      <c r="W21" s="135"/>
      <c r="X21" s="182">
        <v>19</v>
      </c>
      <c r="Y21" s="200"/>
      <c r="Z21" s="201"/>
      <c r="AA21" s="182"/>
      <c r="AB21" s="221"/>
      <c r="AC21" s="108"/>
      <c r="AD21" s="108"/>
      <c r="AE21" s="108">
        <f t="shared" si="2"/>
        <v>0</v>
      </c>
      <c r="AF21" s="182"/>
      <c r="AG21" s="182"/>
      <c r="AH21" s="202"/>
      <c r="AI21" s="203"/>
      <c r="AJ21" s="108">
        <f t="shared" si="6"/>
        <v>0</v>
      </c>
      <c r="AK21" s="301"/>
      <c r="AL21" s="124"/>
      <c r="AM21" s="124"/>
      <c r="AN21" s="22"/>
      <c r="AQ21" s="100"/>
      <c r="AR21" s="59"/>
      <c r="AS21" s="59"/>
      <c r="AT21" s="59"/>
      <c r="AU21" s="59"/>
      <c r="AV21" s="59"/>
      <c r="AW21" s="100"/>
    </row>
    <row r="22" spans="1:54" ht="19.5" thickBot="1" x14ac:dyDescent="0.35">
      <c r="A22" s="166">
        <v>44884</v>
      </c>
      <c r="B22" s="190"/>
      <c r="C22" s="179"/>
      <c r="D22" s="179"/>
      <c r="E22" s="175"/>
      <c r="F22" s="170">
        <f t="shared" si="3"/>
        <v>0</v>
      </c>
      <c r="G22" s="171">
        <f t="shared" si="4"/>
        <v>0</v>
      </c>
      <c r="H22" s="179"/>
      <c r="I22" s="191"/>
      <c r="J22" s="175"/>
      <c r="K22" s="192">
        <f t="shared" si="0"/>
        <v>0</v>
      </c>
      <c r="L22" s="193">
        <f t="shared" si="1"/>
        <v>0</v>
      </c>
      <c r="M22" s="174"/>
      <c r="N22" s="194"/>
      <c r="O22" s="195">
        <f t="shared" si="5"/>
        <v>268.89999999999998</v>
      </c>
      <c r="P22" s="196"/>
      <c r="Q22" s="218"/>
      <c r="R22" s="179"/>
      <c r="S22" s="180"/>
      <c r="T22" s="199"/>
      <c r="U22" s="124"/>
      <c r="V22" s="124"/>
      <c r="W22" s="135"/>
      <c r="X22" s="182">
        <v>20</v>
      </c>
      <c r="Y22" s="200"/>
      <c r="Z22" s="201"/>
      <c r="AA22" s="182"/>
      <c r="AB22" s="221"/>
      <c r="AC22" s="210"/>
      <c r="AD22" s="210"/>
      <c r="AE22" s="108">
        <f t="shared" si="2"/>
        <v>0</v>
      </c>
      <c r="AF22" s="182"/>
      <c r="AG22" s="182"/>
      <c r="AH22" s="202"/>
      <c r="AI22" s="203"/>
      <c r="AJ22" s="108">
        <f t="shared" si="6"/>
        <v>0</v>
      </c>
      <c r="AK22" s="301"/>
      <c r="AL22" s="124"/>
      <c r="AM22" s="124"/>
      <c r="AN22" s="16"/>
      <c r="AQ22" s="100"/>
      <c r="AR22" s="59"/>
      <c r="AS22" s="71"/>
      <c r="AT22" s="71"/>
      <c r="AU22" s="71"/>
      <c r="AV22" s="59"/>
      <c r="AW22" s="100"/>
    </row>
    <row r="23" spans="1:54" ht="19.5" thickBot="1" x14ac:dyDescent="0.35">
      <c r="A23" s="166">
        <v>44885</v>
      </c>
      <c r="B23" s="190"/>
      <c r="C23" s="179"/>
      <c r="D23" s="179"/>
      <c r="E23" s="175"/>
      <c r="F23" s="170">
        <f t="shared" si="3"/>
        <v>0</v>
      </c>
      <c r="G23" s="171">
        <f t="shared" si="4"/>
        <v>0</v>
      </c>
      <c r="H23" s="179"/>
      <c r="I23" s="191"/>
      <c r="J23" s="175"/>
      <c r="K23" s="192">
        <f t="shared" si="0"/>
        <v>0</v>
      </c>
      <c r="L23" s="193">
        <f t="shared" si="1"/>
        <v>0</v>
      </c>
      <c r="M23" s="174"/>
      <c r="N23" s="194"/>
      <c r="O23" s="195">
        <f t="shared" si="5"/>
        <v>268.89999999999998</v>
      </c>
      <c r="P23" s="196"/>
      <c r="Q23" s="211"/>
      <c r="R23" s="212"/>
      <c r="S23" s="180"/>
      <c r="T23" s="222"/>
      <c r="U23" s="124"/>
      <c r="V23" s="124"/>
      <c r="W23" s="135"/>
      <c r="X23" s="182">
        <v>21</v>
      </c>
      <c r="Y23" s="223"/>
      <c r="Z23" s="224"/>
      <c r="AA23" s="208"/>
      <c r="AB23" s="225"/>
      <c r="AC23" s="108"/>
      <c r="AD23" s="108"/>
      <c r="AE23" s="108">
        <f t="shared" si="2"/>
        <v>0</v>
      </c>
      <c r="AF23" s="208"/>
      <c r="AG23" s="226"/>
      <c r="AH23" s="202"/>
      <c r="AI23" s="203"/>
      <c r="AJ23" s="108">
        <f t="shared" si="6"/>
        <v>0</v>
      </c>
      <c r="AK23" s="301"/>
      <c r="AL23" s="124"/>
      <c r="AM23" s="124"/>
      <c r="AN23" s="16"/>
      <c r="AQ23" s="100"/>
      <c r="AR23" s="100"/>
      <c r="AS23" s="100"/>
      <c r="AT23" s="100"/>
      <c r="AU23" s="100"/>
      <c r="AV23" s="100"/>
      <c r="AW23" s="100"/>
    </row>
    <row r="24" spans="1:54" ht="19.5" thickBot="1" x14ac:dyDescent="0.35">
      <c r="A24" s="166">
        <v>44886</v>
      </c>
      <c r="B24" s="190"/>
      <c r="C24" s="179"/>
      <c r="D24" s="179"/>
      <c r="E24" s="175"/>
      <c r="F24" s="170">
        <f t="shared" si="3"/>
        <v>0</v>
      </c>
      <c r="G24" s="171">
        <f t="shared" si="4"/>
        <v>0</v>
      </c>
      <c r="H24" s="179"/>
      <c r="I24" s="191"/>
      <c r="J24" s="175"/>
      <c r="K24" s="192">
        <f t="shared" si="0"/>
        <v>0</v>
      </c>
      <c r="L24" s="193">
        <f t="shared" si="1"/>
        <v>0</v>
      </c>
      <c r="M24" s="209"/>
      <c r="N24" s="194"/>
      <c r="O24" s="195">
        <f>SUM(L24-M24-N24+O23+P24)</f>
        <v>268.89999999999998</v>
      </c>
      <c r="P24" s="196"/>
      <c r="Q24" s="211"/>
      <c r="R24" s="212"/>
      <c r="S24" s="180"/>
      <c r="T24" s="222"/>
      <c r="U24" s="124"/>
      <c r="V24" s="124"/>
      <c r="W24" s="135"/>
      <c r="X24" s="182">
        <v>22</v>
      </c>
      <c r="Y24" s="200"/>
      <c r="Z24" s="201"/>
      <c r="AA24" s="182"/>
      <c r="AB24" s="227"/>
      <c r="AC24" s="210"/>
      <c r="AD24" s="210"/>
      <c r="AE24" s="108">
        <f t="shared" si="2"/>
        <v>0</v>
      </c>
      <c r="AF24" s="182"/>
      <c r="AG24" s="226"/>
      <c r="AH24" s="202"/>
      <c r="AI24" s="203"/>
      <c r="AJ24" s="108">
        <f t="shared" si="6"/>
        <v>0</v>
      </c>
      <c r="AK24" s="301"/>
      <c r="AL24" s="124"/>
      <c r="AM24" s="124"/>
      <c r="AN24" s="16"/>
    </row>
    <row r="25" spans="1:54" ht="19.5" thickBot="1" x14ac:dyDescent="0.35">
      <c r="A25" s="166">
        <v>44887</v>
      </c>
      <c r="B25" s="190"/>
      <c r="C25" s="179"/>
      <c r="D25" s="179"/>
      <c r="E25" s="175"/>
      <c r="F25" s="170">
        <f t="shared" si="3"/>
        <v>0</v>
      </c>
      <c r="G25" s="171">
        <f t="shared" si="4"/>
        <v>0</v>
      </c>
      <c r="H25" s="179"/>
      <c r="I25" s="191"/>
      <c r="J25" s="175"/>
      <c r="K25" s="192">
        <f t="shared" si="0"/>
        <v>0</v>
      </c>
      <c r="L25" s="193">
        <f t="shared" si="1"/>
        <v>0</v>
      </c>
      <c r="M25" s="174"/>
      <c r="N25" s="194"/>
      <c r="O25" s="195">
        <f t="shared" si="5"/>
        <v>268.89999999999998</v>
      </c>
      <c r="P25" s="196"/>
      <c r="Q25" s="178"/>
      <c r="R25" s="179"/>
      <c r="S25" s="180"/>
      <c r="T25" s="181"/>
      <c r="U25" s="124"/>
      <c r="V25" s="124"/>
      <c r="W25" s="135"/>
      <c r="X25" s="182">
        <v>26</v>
      </c>
      <c r="Y25" s="223"/>
      <c r="Z25" s="224"/>
      <c r="AA25" s="208"/>
      <c r="AB25" s="228"/>
      <c r="AC25" s="210"/>
      <c r="AD25" s="210"/>
      <c r="AE25" s="108">
        <f t="shared" si="2"/>
        <v>0</v>
      </c>
      <c r="AF25" s="208"/>
      <c r="AG25" s="226"/>
      <c r="AH25" s="202"/>
      <c r="AI25" s="203"/>
      <c r="AJ25" s="108">
        <f t="shared" si="6"/>
        <v>0</v>
      </c>
      <c r="AK25" s="301"/>
      <c r="AL25" s="124"/>
      <c r="AM25" s="124"/>
      <c r="AN25" s="16"/>
      <c r="AW25" s="2"/>
    </row>
    <row r="26" spans="1:54" ht="19.5" thickBot="1" x14ac:dyDescent="0.35">
      <c r="A26" s="166">
        <v>44888</v>
      </c>
      <c r="B26" s="190"/>
      <c r="C26" s="179"/>
      <c r="D26" s="179"/>
      <c r="E26" s="175"/>
      <c r="F26" s="170">
        <f t="shared" si="3"/>
        <v>0</v>
      </c>
      <c r="G26" s="171">
        <f t="shared" si="4"/>
        <v>0</v>
      </c>
      <c r="H26" s="179"/>
      <c r="I26" s="191"/>
      <c r="J26" s="175"/>
      <c r="K26" s="192">
        <f t="shared" si="0"/>
        <v>0</v>
      </c>
      <c r="L26" s="193">
        <f t="shared" si="1"/>
        <v>0</v>
      </c>
      <c r="M26" s="174"/>
      <c r="N26" s="194"/>
      <c r="O26" s="195">
        <f t="shared" si="5"/>
        <v>268.89999999999998</v>
      </c>
      <c r="P26" s="196"/>
      <c r="Q26" s="178"/>
      <c r="R26" s="179"/>
      <c r="S26" s="180"/>
      <c r="T26" s="222"/>
      <c r="U26" s="124"/>
      <c r="V26" s="124"/>
      <c r="W26" s="135"/>
      <c r="X26" s="182">
        <v>27</v>
      </c>
      <c r="Y26" s="223"/>
      <c r="Z26" s="224"/>
      <c r="AA26" s="208"/>
      <c r="AB26" s="228"/>
      <c r="AC26" s="210"/>
      <c r="AD26" s="210"/>
      <c r="AE26" s="108">
        <f t="shared" si="2"/>
        <v>0</v>
      </c>
      <c r="AF26" s="208"/>
      <c r="AG26" s="226"/>
      <c r="AH26" s="202"/>
      <c r="AI26" s="203"/>
      <c r="AJ26" s="108">
        <f t="shared" si="6"/>
        <v>0</v>
      </c>
      <c r="AK26" s="301"/>
      <c r="AL26" s="124"/>
      <c r="AM26" s="124"/>
      <c r="AN26" s="16"/>
      <c r="AW26" s="2"/>
      <c r="AY26" s="2"/>
    </row>
    <row r="27" spans="1:54" ht="19.5" thickBot="1" x14ac:dyDescent="0.35">
      <c r="A27" s="166">
        <v>44889</v>
      </c>
      <c r="B27" s="190"/>
      <c r="C27" s="179"/>
      <c r="D27" s="179"/>
      <c r="E27" s="175"/>
      <c r="F27" s="170">
        <f t="shared" si="3"/>
        <v>0</v>
      </c>
      <c r="G27" s="171">
        <f t="shared" si="4"/>
        <v>0</v>
      </c>
      <c r="H27" s="179"/>
      <c r="I27" s="191"/>
      <c r="J27" s="175"/>
      <c r="K27" s="192">
        <f t="shared" si="0"/>
        <v>0</v>
      </c>
      <c r="L27" s="193">
        <f t="shared" si="1"/>
        <v>0</v>
      </c>
      <c r="M27" s="209"/>
      <c r="N27" s="194"/>
      <c r="O27" s="195">
        <f t="shared" si="5"/>
        <v>268.89999999999998</v>
      </c>
      <c r="P27" s="196"/>
      <c r="Q27" s="178"/>
      <c r="R27" s="179"/>
      <c r="S27" s="180"/>
      <c r="T27" s="222"/>
      <c r="U27" s="124"/>
      <c r="V27" s="124"/>
      <c r="W27" s="135"/>
      <c r="X27" s="182">
        <v>28</v>
      </c>
      <c r="Y27" s="200"/>
      <c r="Z27" s="201"/>
      <c r="AA27" s="182"/>
      <c r="AB27" s="182"/>
      <c r="AC27" s="210"/>
      <c r="AD27" s="210"/>
      <c r="AE27" s="108">
        <f t="shared" si="2"/>
        <v>0</v>
      </c>
      <c r="AF27" s="182"/>
      <c r="AG27" s="182"/>
      <c r="AH27" s="202"/>
      <c r="AI27" s="203"/>
      <c r="AJ27" s="108">
        <f t="shared" si="6"/>
        <v>0</v>
      </c>
      <c r="AK27" s="301"/>
      <c r="AL27" s="124"/>
      <c r="AM27" s="124"/>
      <c r="AN27" s="16"/>
      <c r="AR27" s="2"/>
      <c r="AS27" s="2"/>
      <c r="AT27" s="2"/>
      <c r="AU27" s="2"/>
      <c r="AV27" s="2"/>
      <c r="AW27" s="2"/>
      <c r="AY27" s="2"/>
      <c r="AZ27" s="2"/>
      <c r="BA27" s="2"/>
      <c r="BB27" s="2"/>
    </row>
    <row r="28" spans="1:54" ht="19.5" thickBot="1" x14ac:dyDescent="0.35">
      <c r="A28" s="166">
        <v>44890</v>
      </c>
      <c r="B28" s="190"/>
      <c r="C28" s="179"/>
      <c r="D28" s="179"/>
      <c r="E28" s="175"/>
      <c r="F28" s="170">
        <f t="shared" si="3"/>
        <v>0</v>
      </c>
      <c r="G28" s="171">
        <f t="shared" si="4"/>
        <v>0</v>
      </c>
      <c r="H28" s="179"/>
      <c r="I28" s="191"/>
      <c r="J28" s="175"/>
      <c r="K28" s="192">
        <f t="shared" si="0"/>
        <v>0</v>
      </c>
      <c r="L28" s="193">
        <f t="shared" si="1"/>
        <v>0</v>
      </c>
      <c r="M28" s="174"/>
      <c r="N28" s="194"/>
      <c r="O28" s="195">
        <f>SUM(L28-M28-N28+O27+P28)</f>
        <v>268.89999999999998</v>
      </c>
      <c r="P28" s="196"/>
      <c r="Q28" s="178"/>
      <c r="R28" s="179"/>
      <c r="S28" s="180"/>
      <c r="T28" s="222"/>
      <c r="U28" s="124"/>
      <c r="V28" s="124"/>
      <c r="W28" s="135"/>
      <c r="X28" s="182">
        <v>29</v>
      </c>
      <c r="Y28" s="200"/>
      <c r="Z28" s="201"/>
      <c r="AA28" s="182"/>
      <c r="AB28" s="182"/>
      <c r="AC28" s="210"/>
      <c r="AD28" s="210"/>
      <c r="AE28" s="108">
        <f t="shared" si="2"/>
        <v>0</v>
      </c>
      <c r="AF28" s="182"/>
      <c r="AG28" s="182"/>
      <c r="AH28" s="202"/>
      <c r="AI28" s="203"/>
      <c r="AJ28" s="108">
        <f t="shared" si="6"/>
        <v>0</v>
      </c>
      <c r="AK28" s="163"/>
      <c r="AL28" s="124"/>
      <c r="AM28" s="124"/>
      <c r="AN28" s="16"/>
      <c r="AR28" s="92"/>
      <c r="AS28" s="11"/>
      <c r="AT28" s="11"/>
      <c r="AU28" s="11"/>
      <c r="AV28" s="2"/>
      <c r="AW28" s="2"/>
      <c r="AY28" s="2"/>
      <c r="AZ28" s="2"/>
      <c r="BA28" s="12"/>
      <c r="BB28" s="2"/>
    </row>
    <row r="29" spans="1:54" ht="19.5" thickBot="1" x14ac:dyDescent="0.35">
      <c r="A29" s="166">
        <v>44891</v>
      </c>
      <c r="B29" s="190"/>
      <c r="C29" s="179"/>
      <c r="D29" s="179"/>
      <c r="E29" s="175"/>
      <c r="F29" s="170">
        <f t="shared" si="3"/>
        <v>0</v>
      </c>
      <c r="G29" s="171">
        <f t="shared" si="4"/>
        <v>0</v>
      </c>
      <c r="H29" s="179"/>
      <c r="I29" s="191"/>
      <c r="J29" s="175"/>
      <c r="K29" s="192">
        <f t="shared" si="0"/>
        <v>0</v>
      </c>
      <c r="L29" s="193">
        <f t="shared" si="1"/>
        <v>0</v>
      </c>
      <c r="M29" s="174"/>
      <c r="N29" s="194"/>
      <c r="O29" s="195">
        <f t="shared" si="5"/>
        <v>268.89999999999998</v>
      </c>
      <c r="P29" s="135"/>
      <c r="Q29" s="178"/>
      <c r="R29" s="179"/>
      <c r="S29" s="180"/>
      <c r="T29" s="222"/>
      <c r="U29" s="124"/>
      <c r="V29" s="124"/>
      <c r="W29" s="135"/>
      <c r="X29" s="182">
        <v>30</v>
      </c>
      <c r="Y29" s="200"/>
      <c r="Z29" s="201"/>
      <c r="AA29" s="182"/>
      <c r="AB29" s="182"/>
      <c r="AC29" s="108"/>
      <c r="AD29" s="108"/>
      <c r="AE29" s="108">
        <f t="shared" si="2"/>
        <v>0</v>
      </c>
      <c r="AF29" s="182"/>
      <c r="AG29" s="182"/>
      <c r="AH29" s="202"/>
      <c r="AI29" s="203"/>
      <c r="AJ29" s="108">
        <f t="shared" si="6"/>
        <v>0</v>
      </c>
      <c r="AK29" s="163"/>
      <c r="AL29" s="124"/>
      <c r="AM29" s="124"/>
      <c r="AN29" s="22"/>
      <c r="AR29" s="92"/>
      <c r="AS29" s="11"/>
      <c r="AT29" s="11"/>
      <c r="AU29" s="11"/>
      <c r="AV29" s="2"/>
      <c r="AW29" s="2"/>
      <c r="AY29" s="12"/>
      <c r="AZ29" s="2"/>
      <c r="BA29" s="12"/>
      <c r="BB29" s="2"/>
    </row>
    <row r="30" spans="1:54" ht="19.5" thickBot="1" x14ac:dyDescent="0.35">
      <c r="A30" s="166">
        <v>44892</v>
      </c>
      <c r="B30" s="229"/>
      <c r="C30" s="179"/>
      <c r="D30" s="179"/>
      <c r="E30" s="175"/>
      <c r="F30" s="170">
        <f t="shared" si="3"/>
        <v>0</v>
      </c>
      <c r="G30" s="171">
        <f t="shared" si="4"/>
        <v>0</v>
      </c>
      <c r="H30" s="179"/>
      <c r="I30" s="191"/>
      <c r="J30" s="175"/>
      <c r="K30" s="192">
        <f t="shared" si="0"/>
        <v>0</v>
      </c>
      <c r="L30" s="193">
        <f t="shared" si="1"/>
        <v>0</v>
      </c>
      <c r="M30" s="209"/>
      <c r="N30" s="194"/>
      <c r="O30" s="195">
        <f>SUM(L30-M30-N30+O29+P30)</f>
        <v>268.89999999999998</v>
      </c>
      <c r="P30" s="135"/>
      <c r="Q30" s="178"/>
      <c r="R30" s="179"/>
      <c r="S30" s="230"/>
      <c r="T30" s="222"/>
      <c r="U30" s="124"/>
      <c r="V30" s="124"/>
      <c r="W30" s="135"/>
      <c r="X30" s="24"/>
      <c r="Y30" s="160"/>
      <c r="Z30" s="161"/>
      <c r="AA30" s="24"/>
      <c r="AB30" s="24"/>
      <c r="AC30" s="231" t="s">
        <v>16</v>
      </c>
      <c r="AD30" s="231">
        <f>SUM(AD3:AD29)</f>
        <v>0</v>
      </c>
      <c r="AE30" s="163"/>
      <c r="AF30" s="232"/>
      <c r="AG30" s="24"/>
      <c r="AH30" s="233"/>
      <c r="AI30" s="165"/>
      <c r="AJ30" s="163"/>
      <c r="AK30" s="163"/>
      <c r="AL30" s="124"/>
      <c r="AM30" s="124"/>
      <c r="AN30" s="22"/>
      <c r="AR30" s="92"/>
      <c r="AS30" s="11"/>
      <c r="AT30" s="11"/>
      <c r="AU30" s="11"/>
      <c r="AV30" s="2"/>
      <c r="AW30" s="2"/>
      <c r="AY30" s="12"/>
      <c r="AZ30" s="2"/>
      <c r="BA30" s="12"/>
      <c r="BB30" s="2"/>
    </row>
    <row r="31" spans="1:54" ht="19.5" thickBot="1" x14ac:dyDescent="0.35">
      <c r="A31" s="166">
        <v>44893</v>
      </c>
      <c r="B31" s="234"/>
      <c r="C31" s="235"/>
      <c r="D31" s="236"/>
      <c r="E31" s="175"/>
      <c r="F31" s="170">
        <f t="shared" si="3"/>
        <v>0</v>
      </c>
      <c r="G31" s="171">
        <f t="shared" si="4"/>
        <v>0</v>
      </c>
      <c r="H31" s="179"/>
      <c r="I31" s="191"/>
      <c r="J31" s="237"/>
      <c r="K31" s="192">
        <f t="shared" si="0"/>
        <v>0</v>
      </c>
      <c r="L31" s="193">
        <f t="shared" si="1"/>
        <v>0</v>
      </c>
      <c r="M31" s="174"/>
      <c r="N31" s="194"/>
      <c r="O31" s="238">
        <f t="shared" si="5"/>
        <v>268.89999999999998</v>
      </c>
      <c r="P31" s="239" t="s">
        <v>9</v>
      </c>
      <c r="Q31" s="178"/>
      <c r="R31" s="179"/>
      <c r="S31" s="230"/>
      <c r="T31" s="222"/>
      <c r="U31" s="124"/>
      <c r="V31" s="124"/>
      <c r="W31" s="135"/>
      <c r="X31" s="24"/>
      <c r="Y31" s="160"/>
      <c r="Z31" s="161"/>
      <c r="AA31" s="24"/>
      <c r="AB31" s="24"/>
      <c r="AC31" s="163"/>
      <c r="AD31" s="163"/>
      <c r="AE31" s="163"/>
      <c r="AF31" s="24"/>
      <c r="AG31" s="24"/>
      <c r="AH31" s="233"/>
      <c r="AI31" s="165"/>
      <c r="AJ31" s="163"/>
      <c r="AK31" s="301"/>
      <c r="AL31" s="124"/>
      <c r="AM31" s="124"/>
      <c r="AN31" s="22"/>
      <c r="AR31" s="92"/>
      <c r="AS31" s="11"/>
      <c r="AT31" s="11"/>
      <c r="AU31" s="11"/>
      <c r="AV31" s="2"/>
      <c r="AW31" s="2"/>
      <c r="AY31" s="2"/>
      <c r="AZ31" s="2"/>
      <c r="BA31" s="12"/>
      <c r="BB31" s="2"/>
    </row>
    <row r="32" spans="1:54" ht="19.5" thickBot="1" x14ac:dyDescent="0.35">
      <c r="A32" s="166">
        <v>44894</v>
      </c>
      <c r="B32" s="190"/>
      <c r="C32" s="179"/>
      <c r="D32" s="179"/>
      <c r="E32" s="175"/>
      <c r="F32" s="170">
        <f t="shared" si="3"/>
        <v>0</v>
      </c>
      <c r="G32" s="171">
        <f t="shared" si="4"/>
        <v>0</v>
      </c>
      <c r="H32" s="179"/>
      <c r="I32" s="191"/>
      <c r="J32" s="175"/>
      <c r="K32" s="192">
        <f t="shared" si="0"/>
        <v>0</v>
      </c>
      <c r="L32" s="193">
        <f t="shared" si="1"/>
        <v>0</v>
      </c>
      <c r="M32" s="240"/>
      <c r="N32" s="194"/>
      <c r="O32" s="238">
        <f t="shared" si="5"/>
        <v>268.89999999999998</v>
      </c>
      <c r="P32" s="241" t="s">
        <v>10</v>
      </c>
      <c r="Q32" s="242"/>
      <c r="R32" s="179"/>
      <c r="S32" s="230"/>
      <c r="T32" s="222"/>
      <c r="U32" s="124"/>
      <c r="V32" s="124"/>
      <c r="W32" s="135"/>
      <c r="X32" s="24"/>
      <c r="Y32" s="160"/>
      <c r="Z32" s="161"/>
      <c r="AA32" s="182" t="s">
        <v>17</v>
      </c>
      <c r="AB32" s="24"/>
      <c r="AC32" s="244"/>
      <c r="AD32" s="244"/>
      <c r="AE32" s="163"/>
      <c r="AF32" s="24"/>
      <c r="AG32" s="24"/>
      <c r="AH32" s="233"/>
      <c r="AI32" s="165"/>
      <c r="AJ32" s="163"/>
      <c r="AK32" s="163"/>
      <c r="AL32" s="303" t="s">
        <v>31</v>
      </c>
      <c r="AM32" s="304"/>
      <c r="AN32" s="36"/>
      <c r="AR32" s="2"/>
      <c r="AS32" s="11"/>
      <c r="AT32" s="11"/>
      <c r="AU32" s="11"/>
      <c r="AV32" s="2"/>
      <c r="AW32" s="2"/>
      <c r="AY32" s="2"/>
      <c r="AZ32" s="2"/>
      <c r="BA32" s="2"/>
      <c r="BB32" s="2"/>
    </row>
    <row r="33" spans="1:54" ht="19.5" thickBot="1" x14ac:dyDescent="0.35">
      <c r="A33" s="166">
        <v>44895</v>
      </c>
      <c r="B33" s="245"/>
      <c r="C33" s="246"/>
      <c r="D33" s="246"/>
      <c r="E33" s="247"/>
      <c r="F33" s="170">
        <f t="shared" si="3"/>
        <v>0</v>
      </c>
      <c r="G33" s="171">
        <f t="shared" si="4"/>
        <v>0</v>
      </c>
      <c r="H33" s="248"/>
      <c r="I33" s="248"/>
      <c r="J33" s="247"/>
      <c r="K33" s="249">
        <f t="shared" si="0"/>
        <v>0</v>
      </c>
      <c r="L33" s="250">
        <f t="shared" si="1"/>
        <v>0</v>
      </c>
      <c r="M33" s="251"/>
      <c r="N33" s="252"/>
      <c r="O33" s="253">
        <f t="shared" si="5"/>
        <v>268.89999999999998</v>
      </c>
      <c r="P33" s="254">
        <f>SUM(O33)</f>
        <v>268.89999999999998</v>
      </c>
      <c r="Q33" s="255"/>
      <c r="R33" s="246"/>
      <c r="S33" s="256"/>
      <c r="T33" s="257"/>
      <c r="U33" s="124"/>
      <c r="V33" s="124"/>
      <c r="W33" s="135"/>
      <c r="X33" s="182">
        <v>1</v>
      </c>
      <c r="Y33" s="200"/>
      <c r="Z33" s="201"/>
      <c r="AA33" s="182"/>
      <c r="AB33" s="182"/>
      <c r="AC33" s="258"/>
      <c r="AD33" s="210"/>
      <c r="AE33" s="108">
        <f t="shared" ref="AE33:AE62" si="7">SUM(AC33:AD33)</f>
        <v>0</v>
      </c>
      <c r="AF33" s="182"/>
      <c r="AG33" s="182"/>
      <c r="AH33" s="202"/>
      <c r="AI33" s="203"/>
      <c r="AJ33" s="108">
        <v>0</v>
      </c>
      <c r="AK33" s="163"/>
      <c r="AL33" s="258">
        <f t="shared" ref="AL33:AL63" si="8">AC33</f>
        <v>0</v>
      </c>
      <c r="AM33" s="305">
        <v>1</v>
      </c>
      <c r="AN33" s="16"/>
      <c r="AR33" s="92"/>
      <c r="AS33" s="11"/>
      <c r="AT33" s="11"/>
      <c r="AU33" s="11"/>
      <c r="AV33" s="2"/>
      <c r="AW33" s="2"/>
      <c r="AY33" s="2"/>
      <c r="AZ33" s="2"/>
      <c r="BA33" s="2"/>
      <c r="BB33" s="2"/>
    </row>
    <row r="34" spans="1:54" ht="19.5" thickBot="1" x14ac:dyDescent="0.35">
      <c r="A34" s="124"/>
      <c r="B34" s="259">
        <f>SUM(B5:B33)</f>
        <v>0</v>
      </c>
      <c r="C34" s="260">
        <f t="shared" ref="C34:N34" si="9">SUM(C3:C33)</f>
        <v>0</v>
      </c>
      <c r="D34" s="261">
        <f t="shared" si="9"/>
        <v>0</v>
      </c>
      <c r="E34" s="261">
        <f t="shared" si="9"/>
        <v>0</v>
      </c>
      <c r="F34" s="262">
        <f t="shared" si="9"/>
        <v>0</v>
      </c>
      <c r="G34" s="263"/>
      <c r="H34" s="263">
        <f>SUM(H3:H33)</f>
        <v>0</v>
      </c>
      <c r="I34" s="263"/>
      <c r="J34" s="263">
        <f t="shared" si="9"/>
        <v>0</v>
      </c>
      <c r="K34" s="264">
        <f t="shared" si="9"/>
        <v>0</v>
      </c>
      <c r="L34" s="265">
        <f t="shared" si="9"/>
        <v>0</v>
      </c>
      <c r="M34" s="266">
        <f t="shared" si="9"/>
        <v>0</v>
      </c>
      <c r="N34" s="267">
        <f t="shared" si="9"/>
        <v>0</v>
      </c>
      <c r="O34" s="135"/>
      <c r="P34" s="135"/>
      <c r="Q34" s="124"/>
      <c r="R34" s="135"/>
      <c r="S34" s="124"/>
      <c r="T34" s="124"/>
      <c r="U34" s="124"/>
      <c r="V34" s="124"/>
      <c r="W34" s="135"/>
      <c r="X34" s="182">
        <v>2</v>
      </c>
      <c r="Y34" s="217"/>
      <c r="Z34" s="201"/>
      <c r="AA34" s="182"/>
      <c r="AB34" s="182"/>
      <c r="AC34" s="258"/>
      <c r="AD34" s="210"/>
      <c r="AE34" s="108">
        <f t="shared" si="7"/>
        <v>0</v>
      </c>
      <c r="AF34" s="182"/>
      <c r="AG34" s="216"/>
      <c r="AH34" s="202"/>
      <c r="AI34" s="203"/>
      <c r="AJ34" s="108">
        <f>AE34</f>
        <v>0</v>
      </c>
      <c r="AK34" s="163"/>
      <c r="AL34" s="258">
        <f t="shared" si="8"/>
        <v>0</v>
      </c>
      <c r="AM34" s="221">
        <v>2</v>
      </c>
      <c r="AN34" s="16"/>
      <c r="AR34" s="2"/>
      <c r="AS34" s="11"/>
      <c r="AT34" s="11"/>
      <c r="AU34" s="11"/>
      <c r="AV34" s="2"/>
      <c r="AW34" s="2"/>
      <c r="AY34" s="2"/>
      <c r="AZ34" s="2"/>
      <c r="BA34" s="2"/>
      <c r="BB34" s="2"/>
    </row>
    <row r="35" spans="1:54" ht="19.5" thickBot="1" x14ac:dyDescent="0.35">
      <c r="A35" s="269" t="s">
        <v>15</v>
      </c>
      <c r="B35" s="270">
        <f>SUM(B3:B33)</f>
        <v>0</v>
      </c>
      <c r="C35" s="270">
        <f>SUM(C34/1.06)</f>
        <v>0</v>
      </c>
      <c r="D35" s="270">
        <f>SUM(D34/1.12)</f>
        <v>0</v>
      </c>
      <c r="E35" s="270">
        <f>SUM(E34/1.21)</f>
        <v>0</v>
      </c>
      <c r="F35" s="270">
        <f>SUM(B35:E35)</f>
        <v>0</v>
      </c>
      <c r="G35" s="271">
        <f>SUM(G34:G34)</f>
        <v>0</v>
      </c>
      <c r="H35" s="135"/>
      <c r="I35" s="135"/>
      <c r="J35" s="179"/>
      <c r="K35" s="272"/>
      <c r="L35" s="273" t="s">
        <v>82</v>
      </c>
      <c r="M35" s="274"/>
      <c r="N35" s="275">
        <f>SUM(M34:N34)</f>
        <v>0</v>
      </c>
      <c r="O35" s="135"/>
      <c r="P35" s="135"/>
      <c r="Q35" s="124"/>
      <c r="R35" s="135"/>
      <c r="S35" s="124"/>
      <c r="T35" s="124"/>
      <c r="U35" s="124"/>
      <c r="V35" s="124"/>
      <c r="W35" s="135"/>
      <c r="X35" s="182">
        <v>3</v>
      </c>
      <c r="Y35" s="200"/>
      <c r="Z35" s="201"/>
      <c r="AA35" s="182"/>
      <c r="AB35" s="182"/>
      <c r="AC35" s="258"/>
      <c r="AD35" s="210"/>
      <c r="AE35" s="108">
        <f t="shared" si="7"/>
        <v>0</v>
      </c>
      <c r="AF35" s="182"/>
      <c r="AG35" s="182"/>
      <c r="AH35" s="202"/>
      <c r="AI35" s="203"/>
      <c r="AJ35" s="108">
        <f>AE35</f>
        <v>0</v>
      </c>
      <c r="AK35" s="163"/>
      <c r="AL35" s="258">
        <f t="shared" si="8"/>
        <v>0</v>
      </c>
      <c r="AM35" s="221">
        <v>3</v>
      </c>
      <c r="AN35" s="16"/>
      <c r="AR35" s="2"/>
      <c r="AS35" s="11"/>
      <c r="AT35" s="11"/>
      <c r="AU35" s="11"/>
      <c r="AV35" s="12"/>
      <c r="AW35" s="2"/>
      <c r="AY35" s="2"/>
      <c r="AZ35" s="2"/>
      <c r="BA35" s="2"/>
      <c r="BB35" s="2"/>
    </row>
    <row r="36" spans="1:54" ht="18.75" x14ac:dyDescent="0.3">
      <c r="A36" s="269" t="s">
        <v>16</v>
      </c>
      <c r="B36" s="276"/>
      <c r="C36" s="270">
        <f>SUM(C34-C35)</f>
        <v>0</v>
      </c>
      <c r="D36" s="270">
        <f>SUM(D34-D35)</f>
        <v>0</v>
      </c>
      <c r="E36" s="270">
        <f>SUM(E34-E35)</f>
        <v>0</v>
      </c>
      <c r="F36" s="270">
        <f>SUM(C36:E36)</f>
        <v>0</v>
      </c>
      <c r="G36" s="135"/>
      <c r="H36" s="135"/>
      <c r="I36" s="135"/>
      <c r="J36" s="135"/>
      <c r="K36" s="135"/>
      <c r="L36" s="135"/>
      <c r="M36" s="135"/>
      <c r="N36" s="135"/>
      <c r="O36" s="135"/>
      <c r="P36" s="135"/>
      <c r="Q36" s="124"/>
      <c r="R36" s="135"/>
      <c r="S36" s="124"/>
      <c r="T36" s="124"/>
      <c r="U36" s="124"/>
      <c r="V36" s="124"/>
      <c r="W36" s="135"/>
      <c r="X36" s="182">
        <v>4</v>
      </c>
      <c r="Y36" s="200"/>
      <c r="Z36" s="201"/>
      <c r="AA36" s="182"/>
      <c r="AB36" s="182"/>
      <c r="AC36" s="277"/>
      <c r="AD36" s="108"/>
      <c r="AE36" s="108">
        <f t="shared" si="7"/>
        <v>0</v>
      </c>
      <c r="AF36" s="182"/>
      <c r="AG36" s="182"/>
      <c r="AH36" s="202"/>
      <c r="AI36" s="203"/>
      <c r="AJ36" s="108">
        <v>0</v>
      </c>
      <c r="AK36" s="306"/>
      <c r="AL36" s="258">
        <f t="shared" si="8"/>
        <v>0</v>
      </c>
      <c r="AM36" s="221">
        <v>4</v>
      </c>
      <c r="AN36" s="16"/>
      <c r="AR36" s="12"/>
      <c r="AS36" s="11"/>
      <c r="AT36" s="11"/>
      <c r="AU36" s="11"/>
      <c r="AV36" s="12"/>
      <c r="AW36" s="2"/>
      <c r="AY36" s="2"/>
      <c r="AZ36" s="2"/>
      <c r="BA36" s="2"/>
      <c r="BB36" s="2"/>
    </row>
    <row r="37" spans="1:54" ht="18.75" x14ac:dyDescent="0.3">
      <c r="A37" s="124"/>
      <c r="B37" s="124"/>
      <c r="C37" s="124"/>
      <c r="D37" s="124"/>
      <c r="E37" s="124"/>
      <c r="F37" s="124"/>
      <c r="G37" s="124"/>
      <c r="H37" s="124"/>
      <c r="I37" s="124"/>
      <c r="J37" s="124"/>
      <c r="K37" s="124"/>
      <c r="L37" s="124"/>
      <c r="M37" s="124"/>
      <c r="N37" s="124"/>
      <c r="O37" s="124"/>
      <c r="P37" s="124"/>
      <c r="Q37" s="159"/>
      <c r="R37" s="135"/>
      <c r="S37" s="124"/>
      <c r="T37" s="124"/>
      <c r="U37" s="124"/>
      <c r="V37" s="124"/>
      <c r="W37" s="135"/>
      <c r="X37" s="182">
        <v>5</v>
      </c>
      <c r="Y37" s="217"/>
      <c r="Z37" s="201"/>
      <c r="AA37" s="182"/>
      <c r="AB37" s="221"/>
      <c r="AC37" s="258"/>
      <c r="AD37" s="210"/>
      <c r="AE37" s="108">
        <f t="shared" si="7"/>
        <v>0</v>
      </c>
      <c r="AF37" s="182"/>
      <c r="AG37" s="216"/>
      <c r="AH37" s="202"/>
      <c r="AI37" s="203"/>
      <c r="AJ37" s="108">
        <f>AE37</f>
        <v>0</v>
      </c>
      <c r="AK37" s="301"/>
      <c r="AL37" s="258">
        <f t="shared" si="8"/>
        <v>0</v>
      </c>
      <c r="AM37" s="221">
        <v>5</v>
      </c>
      <c r="AN37" s="22"/>
      <c r="AR37" s="12"/>
      <c r="AS37" s="11"/>
      <c r="AT37" s="11"/>
      <c r="AU37" s="11"/>
      <c r="AV37" s="12"/>
      <c r="AW37" s="2"/>
    </row>
    <row r="38" spans="1:54" ht="18.75" x14ac:dyDescent="0.3">
      <c r="A38" s="124"/>
      <c r="B38" s="124"/>
      <c r="C38" s="124"/>
      <c r="D38" s="124"/>
      <c r="E38" s="124"/>
      <c r="F38" s="124"/>
      <c r="G38" s="124"/>
      <c r="H38" s="124"/>
      <c r="I38" s="124"/>
      <c r="J38" s="124"/>
      <c r="K38" s="124"/>
      <c r="L38" s="124"/>
      <c r="M38" s="124"/>
      <c r="N38" s="124"/>
      <c r="O38" s="124"/>
      <c r="P38" s="124"/>
      <c r="Q38" s="124"/>
      <c r="R38" s="135"/>
      <c r="S38" s="124"/>
      <c r="T38" s="124"/>
      <c r="U38" s="124"/>
      <c r="V38" s="124"/>
      <c r="W38" s="135"/>
      <c r="X38" s="182">
        <v>6</v>
      </c>
      <c r="Y38" s="200"/>
      <c r="Z38" s="201"/>
      <c r="AA38" s="182"/>
      <c r="AB38" s="182"/>
      <c r="AC38" s="277"/>
      <c r="AD38" s="108"/>
      <c r="AE38" s="108">
        <f t="shared" si="7"/>
        <v>0</v>
      </c>
      <c r="AF38" s="182"/>
      <c r="AG38" s="216"/>
      <c r="AH38" s="202"/>
      <c r="AI38" s="203"/>
      <c r="AJ38" s="108">
        <v>0</v>
      </c>
      <c r="AK38" s="301"/>
      <c r="AL38" s="258">
        <f t="shared" si="8"/>
        <v>0</v>
      </c>
      <c r="AM38" s="221">
        <v>6</v>
      </c>
      <c r="AN38" s="16"/>
      <c r="AR38" s="2"/>
      <c r="AS38" s="11"/>
      <c r="AT38" s="11"/>
      <c r="AU38" s="11"/>
      <c r="AV38" s="12"/>
      <c r="AW38" s="2"/>
      <c r="BA38" s="7"/>
    </row>
    <row r="39" spans="1:54" ht="18.75" x14ac:dyDescent="0.3">
      <c r="A39" s="124"/>
      <c r="B39" s="124"/>
      <c r="C39" s="124"/>
      <c r="D39" s="124"/>
      <c r="E39" s="124"/>
      <c r="F39" s="124"/>
      <c r="G39" s="124"/>
      <c r="H39" s="124"/>
      <c r="I39" s="124"/>
      <c r="J39" s="124"/>
      <c r="K39" s="124"/>
      <c r="L39" s="124"/>
      <c r="M39" s="124"/>
      <c r="N39" s="124"/>
      <c r="O39" s="124"/>
      <c r="P39" s="124"/>
      <c r="Q39" s="124"/>
      <c r="R39" s="135"/>
      <c r="S39" s="124"/>
      <c r="T39" s="124"/>
      <c r="U39" s="124"/>
      <c r="V39" s="124"/>
      <c r="W39" s="135"/>
      <c r="X39" s="182">
        <v>7</v>
      </c>
      <c r="Y39" s="200"/>
      <c r="Z39" s="201"/>
      <c r="AA39" s="182"/>
      <c r="AB39" s="182"/>
      <c r="AC39" s="277"/>
      <c r="AD39" s="108"/>
      <c r="AE39" s="108">
        <f t="shared" si="7"/>
        <v>0</v>
      </c>
      <c r="AF39" s="182"/>
      <c r="AG39" s="182"/>
      <c r="AH39" s="202"/>
      <c r="AI39" s="203"/>
      <c r="AJ39" s="108">
        <f t="shared" ref="AJ39:AJ62" si="10">AE39</f>
        <v>0</v>
      </c>
      <c r="AK39" s="301"/>
      <c r="AL39" s="258">
        <f t="shared" si="8"/>
        <v>0</v>
      </c>
      <c r="AM39" s="221">
        <v>7</v>
      </c>
      <c r="AN39" s="16"/>
      <c r="AR39" s="2"/>
      <c r="AS39" s="11"/>
      <c r="AT39" s="11"/>
      <c r="AU39" s="11"/>
      <c r="AV39" s="12"/>
      <c r="AW39" s="2"/>
      <c r="BA39" s="7"/>
    </row>
    <row r="40" spans="1:54" ht="18.75" x14ac:dyDescent="0.3">
      <c r="A40" s="124"/>
      <c r="B40" s="124"/>
      <c r="C40" s="124"/>
      <c r="D40" s="124"/>
      <c r="E40" s="124"/>
      <c r="F40" s="124"/>
      <c r="G40" s="124"/>
      <c r="H40" s="124"/>
      <c r="I40" s="124"/>
      <c r="J40" s="124"/>
      <c r="K40" s="124"/>
      <c r="L40" s="124"/>
      <c r="M40" s="124"/>
      <c r="N40" s="324"/>
      <c r="O40" s="324"/>
      <c r="P40" s="124"/>
      <c r="Q40" s="124"/>
      <c r="R40" s="135"/>
      <c r="S40" s="124"/>
      <c r="T40" s="124"/>
      <c r="U40" s="124"/>
      <c r="V40" s="124"/>
      <c r="W40" s="135"/>
      <c r="X40" s="182">
        <v>8</v>
      </c>
      <c r="Y40" s="200"/>
      <c r="Z40" s="201"/>
      <c r="AA40" s="182"/>
      <c r="AB40" s="182"/>
      <c r="AC40" s="258"/>
      <c r="AD40" s="210"/>
      <c r="AE40" s="108">
        <f t="shared" si="7"/>
        <v>0</v>
      </c>
      <c r="AF40" s="182"/>
      <c r="AG40" s="182"/>
      <c r="AH40" s="202"/>
      <c r="AI40" s="203"/>
      <c r="AJ40" s="108">
        <f t="shared" si="10"/>
        <v>0</v>
      </c>
      <c r="AK40" s="301"/>
      <c r="AL40" s="258">
        <f t="shared" si="8"/>
        <v>0</v>
      </c>
      <c r="AM40" s="221">
        <v>8</v>
      </c>
      <c r="AN40" s="16"/>
      <c r="AR40" s="2"/>
      <c r="AS40" s="11"/>
      <c r="AT40" s="11"/>
      <c r="AU40" s="11"/>
      <c r="AV40" s="12"/>
      <c r="AW40" s="2"/>
    </row>
    <row r="41" spans="1:54" ht="18.75" x14ac:dyDescent="0.3">
      <c r="A41" s="124"/>
      <c r="B41" s="124"/>
      <c r="C41" s="124"/>
      <c r="D41" s="124"/>
      <c r="E41" s="124"/>
      <c r="F41" s="124"/>
      <c r="G41" s="124"/>
      <c r="H41" s="124"/>
      <c r="I41" s="124"/>
      <c r="J41" s="124"/>
      <c r="K41" s="124"/>
      <c r="L41" s="124"/>
      <c r="M41" s="124"/>
      <c r="N41" s="324"/>
      <c r="O41" s="324"/>
      <c r="P41" s="124"/>
      <c r="Q41" s="124"/>
      <c r="R41" s="135"/>
      <c r="S41" s="124"/>
      <c r="T41" s="124"/>
      <c r="U41" s="124"/>
      <c r="V41" s="124"/>
      <c r="W41" s="135"/>
      <c r="X41" s="182">
        <v>9</v>
      </c>
      <c r="Y41" s="200"/>
      <c r="Z41" s="201"/>
      <c r="AA41" s="182"/>
      <c r="AB41" s="182"/>
      <c r="AC41" s="277"/>
      <c r="AD41" s="108"/>
      <c r="AE41" s="108">
        <f t="shared" si="7"/>
        <v>0</v>
      </c>
      <c r="AF41" s="182"/>
      <c r="AG41" s="182"/>
      <c r="AH41" s="202"/>
      <c r="AI41" s="203"/>
      <c r="AJ41" s="108">
        <f t="shared" si="10"/>
        <v>0</v>
      </c>
      <c r="AK41" s="301"/>
      <c r="AL41" s="258">
        <f t="shared" si="8"/>
        <v>0</v>
      </c>
      <c r="AM41" s="221">
        <v>9</v>
      </c>
      <c r="AN41" s="16"/>
      <c r="AR41" s="2"/>
      <c r="AS41" s="11"/>
      <c r="AT41" s="11"/>
      <c r="AU41" s="11"/>
      <c r="AV41" s="12"/>
      <c r="AW41" s="2"/>
    </row>
    <row r="42" spans="1:54" ht="18.75" x14ac:dyDescent="0.3">
      <c r="A42" s="124"/>
      <c r="B42" s="124"/>
      <c r="C42" s="124"/>
      <c r="D42" s="124"/>
      <c r="E42" s="124"/>
      <c r="F42" s="124"/>
      <c r="G42" s="124"/>
      <c r="H42" s="124"/>
      <c r="I42" s="124" t="s">
        <v>14</v>
      </c>
      <c r="J42" s="124"/>
      <c r="K42" s="124"/>
      <c r="L42" s="124"/>
      <c r="M42" s="124"/>
      <c r="N42" s="324"/>
      <c r="O42" s="324"/>
      <c r="P42" s="124"/>
      <c r="Q42" s="124"/>
      <c r="R42" s="135"/>
      <c r="S42" s="124"/>
      <c r="T42" s="124"/>
      <c r="U42" s="124"/>
      <c r="V42" s="124"/>
      <c r="W42" s="135"/>
      <c r="X42" s="182">
        <v>10</v>
      </c>
      <c r="Y42" s="200"/>
      <c r="Z42" s="201"/>
      <c r="AA42" s="182"/>
      <c r="AB42" s="182"/>
      <c r="AC42" s="258"/>
      <c r="AD42" s="210"/>
      <c r="AE42" s="108">
        <f t="shared" si="7"/>
        <v>0</v>
      </c>
      <c r="AF42" s="182"/>
      <c r="AG42" s="182"/>
      <c r="AH42" s="202"/>
      <c r="AI42" s="203"/>
      <c r="AJ42" s="108">
        <f t="shared" si="10"/>
        <v>0</v>
      </c>
      <c r="AK42" s="163"/>
      <c r="AL42" s="258">
        <f t="shared" si="8"/>
        <v>0</v>
      </c>
      <c r="AM42" s="221">
        <v>10</v>
      </c>
      <c r="AN42" s="16"/>
      <c r="AR42" s="2"/>
      <c r="AS42" s="11"/>
      <c r="AT42" s="11"/>
      <c r="AU42" s="11"/>
      <c r="AV42" s="2"/>
      <c r="AW42" s="2"/>
    </row>
    <row r="43" spans="1:54" ht="15.75" x14ac:dyDescent="0.25">
      <c r="A43" s="124"/>
      <c r="B43" s="124"/>
      <c r="C43" s="279"/>
      <c r="D43" s="279"/>
      <c r="E43" s="124"/>
      <c r="F43" s="124"/>
      <c r="G43" s="124"/>
      <c r="H43" s="124"/>
      <c r="I43" s="124"/>
      <c r="J43" s="124"/>
      <c r="K43" s="124"/>
      <c r="L43" s="124"/>
      <c r="M43" s="124"/>
      <c r="N43" s="324"/>
      <c r="O43" s="325"/>
      <c r="P43" s="124"/>
      <c r="Q43" s="124"/>
      <c r="R43" s="135"/>
      <c r="S43" s="124"/>
      <c r="T43" s="124"/>
      <c r="U43" s="124"/>
      <c r="V43" s="124"/>
      <c r="W43" s="135"/>
      <c r="X43" s="182">
        <v>11</v>
      </c>
      <c r="Y43" s="200"/>
      <c r="Z43" s="201"/>
      <c r="AA43" s="182"/>
      <c r="AB43" s="182"/>
      <c r="AC43" s="258"/>
      <c r="AD43" s="210"/>
      <c r="AE43" s="108">
        <f t="shared" si="7"/>
        <v>0</v>
      </c>
      <c r="AF43" s="182"/>
      <c r="AG43" s="182"/>
      <c r="AH43" s="202"/>
      <c r="AI43" s="203"/>
      <c r="AJ43" s="108">
        <f t="shared" si="10"/>
        <v>0</v>
      </c>
      <c r="AK43" s="23"/>
      <c r="AL43" s="258">
        <f t="shared" si="8"/>
        <v>0</v>
      </c>
      <c r="AM43" s="221">
        <v>11</v>
      </c>
      <c r="AN43" s="38"/>
      <c r="AR43" s="2"/>
      <c r="AS43" s="11"/>
      <c r="AT43" s="11"/>
      <c r="AU43" s="11"/>
      <c r="AV43" s="2"/>
    </row>
    <row r="44" spans="1:54" ht="15.75" x14ac:dyDescent="0.25">
      <c r="A44" s="124"/>
      <c r="B44" s="124"/>
      <c r="C44" s="124"/>
      <c r="D44" s="124"/>
      <c r="E44" s="124"/>
      <c r="F44" s="124"/>
      <c r="G44" s="124"/>
      <c r="H44" s="124"/>
      <c r="I44" s="124"/>
      <c r="J44" s="135"/>
      <c r="K44" s="124"/>
      <c r="L44" s="124"/>
      <c r="M44" s="124"/>
      <c r="N44" s="324"/>
      <c r="O44" s="324"/>
      <c r="P44" s="124"/>
      <c r="Q44" s="124"/>
      <c r="R44" s="135"/>
      <c r="S44" s="124"/>
      <c r="T44" s="124"/>
      <c r="U44" s="124"/>
      <c r="V44" s="124"/>
      <c r="W44" s="135"/>
      <c r="X44" s="182">
        <v>12</v>
      </c>
      <c r="Y44" s="200"/>
      <c r="Z44" s="201"/>
      <c r="AA44" s="221"/>
      <c r="AB44" s="182"/>
      <c r="AC44" s="258"/>
      <c r="AD44" s="210"/>
      <c r="AE44" s="108">
        <f t="shared" si="7"/>
        <v>0</v>
      </c>
      <c r="AF44" s="182"/>
      <c r="AG44" s="182"/>
      <c r="AH44" s="202"/>
      <c r="AI44" s="203"/>
      <c r="AJ44" s="108">
        <f t="shared" si="10"/>
        <v>0</v>
      </c>
      <c r="AK44" s="25"/>
      <c r="AL44" s="258">
        <f t="shared" si="8"/>
        <v>0</v>
      </c>
      <c r="AM44" s="221">
        <v>12</v>
      </c>
      <c r="AN44" s="28"/>
      <c r="AR44" s="2"/>
      <c r="AS44" s="11"/>
      <c r="AT44" s="11"/>
      <c r="AU44" s="11"/>
      <c r="AV44" s="2"/>
    </row>
    <row r="45" spans="1:54" ht="15.75" x14ac:dyDescent="0.25">
      <c r="A45" s="135"/>
      <c r="B45" s="135"/>
      <c r="C45" s="135"/>
      <c r="D45" s="135"/>
      <c r="E45" s="135"/>
      <c r="F45" s="135"/>
      <c r="G45" s="135"/>
      <c r="H45" s="135"/>
      <c r="I45" s="135"/>
      <c r="J45" s="135"/>
      <c r="K45" s="135"/>
      <c r="L45" s="135"/>
      <c r="M45" s="135"/>
      <c r="N45" s="326"/>
      <c r="O45" s="327"/>
      <c r="P45" s="135"/>
      <c r="Q45" s="124"/>
      <c r="R45" s="135"/>
      <c r="S45" s="124"/>
      <c r="T45" s="124"/>
      <c r="U45" s="124"/>
      <c r="V45" s="124"/>
      <c r="W45" s="135"/>
      <c r="X45" s="182">
        <v>13</v>
      </c>
      <c r="Y45" s="200"/>
      <c r="Z45" s="201"/>
      <c r="AA45" s="182"/>
      <c r="AB45" s="182"/>
      <c r="AC45" s="258"/>
      <c r="AD45" s="210"/>
      <c r="AE45" s="108">
        <f t="shared" si="7"/>
        <v>0</v>
      </c>
      <c r="AF45" s="182"/>
      <c r="AG45" s="208"/>
      <c r="AH45" s="202"/>
      <c r="AI45" s="203"/>
      <c r="AJ45" s="108">
        <f t="shared" si="10"/>
        <v>0</v>
      </c>
      <c r="AK45" s="25"/>
      <c r="AL45" s="258">
        <f t="shared" si="8"/>
        <v>0</v>
      </c>
      <c r="AM45" s="221">
        <v>13</v>
      </c>
      <c r="AN45" s="32"/>
      <c r="AR45" s="2"/>
      <c r="AS45" s="11"/>
      <c r="AT45" s="11"/>
      <c r="AU45" s="11"/>
      <c r="AV45" s="2"/>
    </row>
    <row r="46" spans="1:54" ht="18.75" x14ac:dyDescent="0.3">
      <c r="A46" s="135"/>
      <c r="B46" s="135"/>
      <c r="C46" s="135"/>
      <c r="D46" s="135"/>
      <c r="E46" s="135"/>
      <c r="F46" s="135"/>
      <c r="G46" s="135"/>
      <c r="H46" s="135"/>
      <c r="I46" s="135"/>
      <c r="J46" s="124"/>
      <c r="K46" s="135"/>
      <c r="L46" s="135"/>
      <c r="M46" s="135"/>
      <c r="N46" s="135"/>
      <c r="O46" s="135"/>
      <c r="P46" s="135" t="s">
        <v>14</v>
      </c>
      <c r="Q46" s="124"/>
      <c r="R46" s="135"/>
      <c r="S46" s="124"/>
      <c r="T46" s="124"/>
      <c r="U46" s="124"/>
      <c r="V46" s="124"/>
      <c r="W46" s="135"/>
      <c r="X46" s="182">
        <v>14</v>
      </c>
      <c r="Y46" s="200"/>
      <c r="Z46" s="201"/>
      <c r="AA46" s="182"/>
      <c r="AB46" s="182"/>
      <c r="AC46" s="258"/>
      <c r="AD46" s="210"/>
      <c r="AE46" s="108">
        <f t="shared" si="7"/>
        <v>0</v>
      </c>
      <c r="AF46" s="182"/>
      <c r="AG46" s="226"/>
      <c r="AH46" s="202"/>
      <c r="AI46" s="203"/>
      <c r="AJ46" s="108">
        <f t="shared" si="10"/>
        <v>0</v>
      </c>
      <c r="AK46" s="163"/>
      <c r="AL46" s="258">
        <f t="shared" si="8"/>
        <v>0</v>
      </c>
      <c r="AM46" s="221">
        <v>14</v>
      </c>
      <c r="AN46" s="34"/>
      <c r="AR46" s="2"/>
      <c r="AS46" s="11"/>
      <c r="AT46" s="11"/>
      <c r="AU46" s="11"/>
      <c r="AV46" s="2"/>
    </row>
    <row r="47" spans="1:54" ht="15.75" x14ac:dyDescent="0.25">
      <c r="A47" s="280"/>
      <c r="B47" s="135"/>
      <c r="C47" s="135"/>
      <c r="D47" s="135"/>
      <c r="E47" s="135"/>
      <c r="F47" s="281"/>
      <c r="G47" s="135"/>
      <c r="H47" s="135"/>
      <c r="I47" s="135"/>
      <c r="J47" s="135"/>
      <c r="K47" s="135"/>
      <c r="L47" s="135"/>
      <c r="M47" s="135"/>
      <c r="N47" s="135"/>
      <c r="O47" s="135"/>
      <c r="P47" s="135"/>
      <c r="Q47" s="124"/>
      <c r="R47" s="135"/>
      <c r="S47" s="124"/>
      <c r="T47" s="124"/>
      <c r="U47" s="124"/>
      <c r="V47" s="124"/>
      <c r="W47" s="135"/>
      <c r="X47" s="182">
        <v>15</v>
      </c>
      <c r="Y47" s="200"/>
      <c r="Z47" s="201"/>
      <c r="AA47" s="182"/>
      <c r="AB47" s="228"/>
      <c r="AC47" s="258"/>
      <c r="AD47" s="210"/>
      <c r="AE47" s="108">
        <f t="shared" si="7"/>
        <v>0</v>
      </c>
      <c r="AF47" s="182"/>
      <c r="AG47" s="182"/>
      <c r="AH47" s="202"/>
      <c r="AI47" s="203"/>
      <c r="AJ47" s="108">
        <f t="shared" si="10"/>
        <v>0</v>
      </c>
      <c r="AK47" s="23"/>
      <c r="AL47" s="258">
        <f t="shared" si="8"/>
        <v>0</v>
      </c>
      <c r="AM47" s="221">
        <v>15</v>
      </c>
      <c r="AN47" s="24"/>
      <c r="BA47" s="7"/>
    </row>
    <row r="48" spans="1:54" ht="15.75" x14ac:dyDescent="0.25">
      <c r="A48" s="280"/>
      <c r="B48" s="135"/>
      <c r="C48" s="135"/>
      <c r="D48" s="135"/>
      <c r="E48" s="135"/>
      <c r="F48" s="135"/>
      <c r="G48" s="135"/>
      <c r="H48" s="135"/>
      <c r="I48" s="135"/>
      <c r="J48" s="135"/>
      <c r="K48" s="135"/>
      <c r="L48" s="135"/>
      <c r="M48" s="135"/>
      <c r="N48" s="135"/>
      <c r="O48" s="135"/>
      <c r="P48" s="135"/>
      <c r="Q48" s="124"/>
      <c r="R48" s="135"/>
      <c r="S48" s="124"/>
      <c r="T48" s="124"/>
      <c r="U48" s="124"/>
      <c r="V48" s="124"/>
      <c r="W48" s="135"/>
      <c r="X48" s="182">
        <v>16</v>
      </c>
      <c r="Y48" s="200"/>
      <c r="Z48" s="201"/>
      <c r="AA48" s="182"/>
      <c r="AB48" s="182"/>
      <c r="AC48" s="258"/>
      <c r="AD48" s="210"/>
      <c r="AE48" s="108">
        <f t="shared" si="7"/>
        <v>0</v>
      </c>
      <c r="AF48" s="182"/>
      <c r="AG48" s="182"/>
      <c r="AH48" s="202"/>
      <c r="AI48" s="203"/>
      <c r="AJ48" s="108">
        <f t="shared" si="10"/>
        <v>0</v>
      </c>
      <c r="AK48" s="23"/>
      <c r="AL48" s="258">
        <f t="shared" si="8"/>
        <v>0</v>
      </c>
      <c r="AM48" s="221">
        <v>16</v>
      </c>
      <c r="AN48" s="24"/>
      <c r="AY48" s="7"/>
      <c r="BA48" s="7"/>
    </row>
    <row r="49" spans="1:54" ht="18.75" x14ac:dyDescent="0.3">
      <c r="A49" s="280"/>
      <c r="B49" s="135"/>
      <c r="C49" s="135"/>
      <c r="D49" s="135"/>
      <c r="E49" s="135"/>
      <c r="F49" s="281"/>
      <c r="G49" s="135"/>
      <c r="H49" s="135"/>
      <c r="I49" s="135"/>
      <c r="J49" s="135"/>
      <c r="K49" s="135"/>
      <c r="L49" s="135"/>
      <c r="M49" s="135"/>
      <c r="N49" s="135"/>
      <c r="O49" s="135"/>
      <c r="P49" s="135"/>
      <c r="Q49" s="124"/>
      <c r="R49" s="135"/>
      <c r="S49" s="124"/>
      <c r="T49" s="124"/>
      <c r="U49" s="124"/>
      <c r="V49" s="124"/>
      <c r="W49" s="135"/>
      <c r="X49" s="182">
        <v>17</v>
      </c>
      <c r="Y49" s="223"/>
      <c r="Z49" s="224"/>
      <c r="AA49" s="208"/>
      <c r="AB49" s="208"/>
      <c r="AC49" s="277"/>
      <c r="AD49" s="108"/>
      <c r="AE49" s="108">
        <f t="shared" si="7"/>
        <v>0</v>
      </c>
      <c r="AF49" s="208"/>
      <c r="AG49" s="208"/>
      <c r="AH49" s="202"/>
      <c r="AI49" s="203"/>
      <c r="AJ49" s="108">
        <f t="shared" si="10"/>
        <v>0</v>
      </c>
      <c r="AK49" s="163"/>
      <c r="AL49" s="258">
        <f t="shared" si="8"/>
        <v>0</v>
      </c>
      <c r="AM49" s="221">
        <v>17</v>
      </c>
      <c r="AN49" s="22"/>
      <c r="AY49" s="7"/>
      <c r="BA49" s="7"/>
    </row>
    <row r="50" spans="1:54" ht="18.75" x14ac:dyDescent="0.3">
      <c r="A50" s="280"/>
      <c r="B50" s="135"/>
      <c r="C50" s="135"/>
      <c r="D50" s="135"/>
      <c r="E50" s="135"/>
      <c r="F50" s="281"/>
      <c r="G50" s="135"/>
      <c r="H50" s="135"/>
      <c r="I50" s="135"/>
      <c r="J50" s="135"/>
      <c r="K50" s="135"/>
      <c r="L50" s="135"/>
      <c r="M50" s="135"/>
      <c r="N50" s="135"/>
      <c r="O50" s="135"/>
      <c r="P50" s="135"/>
      <c r="Q50" s="124"/>
      <c r="R50" s="135"/>
      <c r="S50" s="124"/>
      <c r="T50" s="124"/>
      <c r="U50" s="124"/>
      <c r="V50" s="124"/>
      <c r="W50" s="135"/>
      <c r="X50" s="182">
        <v>18</v>
      </c>
      <c r="Y50" s="200"/>
      <c r="Z50" s="201"/>
      <c r="AA50" s="182"/>
      <c r="AB50" s="182"/>
      <c r="AC50" s="277"/>
      <c r="AD50" s="108"/>
      <c r="AE50" s="108">
        <f t="shared" si="7"/>
        <v>0</v>
      </c>
      <c r="AF50" s="182"/>
      <c r="AG50" s="216"/>
      <c r="AH50" s="202"/>
      <c r="AI50" s="203"/>
      <c r="AJ50" s="108">
        <f t="shared" si="10"/>
        <v>0</v>
      </c>
      <c r="AK50" s="163"/>
      <c r="AL50" s="258">
        <f t="shared" si="8"/>
        <v>0</v>
      </c>
      <c r="AM50" s="221">
        <v>18</v>
      </c>
      <c r="AN50" s="22"/>
      <c r="AY50" s="2"/>
    </row>
    <row r="51" spans="1:54" ht="18.75" x14ac:dyDescent="0.3">
      <c r="A51" s="280"/>
      <c r="B51" s="135"/>
      <c r="C51" s="135"/>
      <c r="D51" s="135"/>
      <c r="E51" s="135"/>
      <c r="F51" s="281"/>
      <c r="G51" s="135"/>
      <c r="H51" s="135"/>
      <c r="I51" s="135"/>
      <c r="J51" s="135"/>
      <c r="K51" s="135"/>
      <c r="L51" s="135"/>
      <c r="M51" s="135"/>
      <c r="N51" s="135"/>
      <c r="O51" s="135"/>
      <c r="P51" s="135"/>
      <c r="Q51" s="124"/>
      <c r="R51" s="135"/>
      <c r="S51" s="124"/>
      <c r="T51" s="124"/>
      <c r="U51" s="124"/>
      <c r="V51" s="124"/>
      <c r="W51" s="135"/>
      <c r="X51" s="182">
        <v>19</v>
      </c>
      <c r="Y51" s="200"/>
      <c r="Z51" s="201"/>
      <c r="AA51" s="182"/>
      <c r="AB51" s="221"/>
      <c r="AC51" s="277"/>
      <c r="AD51" s="108"/>
      <c r="AE51" s="108">
        <f t="shared" si="7"/>
        <v>0</v>
      </c>
      <c r="AF51" s="182"/>
      <c r="AG51" s="182"/>
      <c r="AH51" s="202"/>
      <c r="AI51" s="203"/>
      <c r="AJ51" s="108">
        <f t="shared" si="10"/>
        <v>0</v>
      </c>
      <c r="AK51" s="163"/>
      <c r="AL51" s="258">
        <f t="shared" si="8"/>
        <v>0</v>
      </c>
      <c r="AM51" s="221">
        <v>19</v>
      </c>
      <c r="AN51" s="22"/>
      <c r="AR51" s="2"/>
      <c r="AS51" s="2"/>
      <c r="AT51" s="2"/>
      <c r="AU51" s="2"/>
      <c r="AV51" s="2"/>
      <c r="AY51" s="2"/>
      <c r="AZ51" s="2"/>
      <c r="BA51" s="2"/>
      <c r="BB51" s="2"/>
    </row>
    <row r="52" spans="1:54" ht="18.75" x14ac:dyDescent="0.3">
      <c r="A52" s="280"/>
      <c r="B52" s="135"/>
      <c r="C52" s="135"/>
      <c r="D52" s="135"/>
      <c r="E52" s="135"/>
      <c r="F52" s="135"/>
      <c r="G52" s="135"/>
      <c r="H52" s="135"/>
      <c r="I52" s="135"/>
      <c r="J52" s="135"/>
      <c r="K52" s="135"/>
      <c r="L52" s="135"/>
      <c r="M52" s="135"/>
      <c r="N52" s="135"/>
      <c r="O52" s="135"/>
      <c r="P52" s="135"/>
      <c r="Q52" s="124"/>
      <c r="R52" s="135"/>
      <c r="S52" s="124"/>
      <c r="T52" s="124"/>
      <c r="U52" s="124"/>
      <c r="V52" s="124"/>
      <c r="W52" s="135"/>
      <c r="X52" s="182">
        <v>20</v>
      </c>
      <c r="Y52" s="200"/>
      <c r="Z52" s="201"/>
      <c r="AA52" s="182"/>
      <c r="AB52" s="182"/>
      <c r="AC52" s="277"/>
      <c r="AD52" s="108"/>
      <c r="AE52" s="108">
        <f t="shared" si="7"/>
        <v>0</v>
      </c>
      <c r="AF52" s="182"/>
      <c r="AG52" s="182"/>
      <c r="AH52" s="202"/>
      <c r="AI52" s="203"/>
      <c r="AJ52" s="108">
        <f t="shared" si="10"/>
        <v>0</v>
      </c>
      <c r="AK52" s="163"/>
      <c r="AL52" s="258">
        <f t="shared" si="8"/>
        <v>0</v>
      </c>
      <c r="AM52" s="221">
        <v>20</v>
      </c>
      <c r="AN52" s="22"/>
      <c r="AR52" s="92"/>
      <c r="AS52" s="11"/>
      <c r="AT52" s="11"/>
      <c r="AU52" s="2"/>
      <c r="AV52" s="2"/>
      <c r="AY52" s="2"/>
      <c r="AZ52" s="2"/>
      <c r="BA52" s="12"/>
      <c r="BB52" s="2"/>
    </row>
    <row r="53" spans="1:54" ht="18.75" x14ac:dyDescent="0.3">
      <c r="A53" s="280"/>
      <c r="B53" s="135"/>
      <c r="C53" s="135"/>
      <c r="D53" s="135"/>
      <c r="E53" s="135"/>
      <c r="F53" s="135"/>
      <c r="G53" s="135"/>
      <c r="H53" s="135"/>
      <c r="I53" s="135"/>
      <c r="J53" s="135"/>
      <c r="K53" s="135"/>
      <c r="L53" s="135"/>
      <c r="M53" s="135"/>
      <c r="N53" s="135"/>
      <c r="O53" s="135"/>
      <c r="P53" s="135"/>
      <c r="Q53" s="124"/>
      <c r="R53" s="135"/>
      <c r="S53" s="124"/>
      <c r="T53" s="124"/>
      <c r="U53" s="124"/>
      <c r="V53" s="124"/>
      <c r="W53" s="135"/>
      <c r="X53" s="182">
        <v>21</v>
      </c>
      <c r="Y53" s="200"/>
      <c r="Z53" s="201"/>
      <c r="AA53" s="182"/>
      <c r="AB53" s="225"/>
      <c r="AC53" s="277"/>
      <c r="AD53" s="108"/>
      <c r="AE53" s="108">
        <f t="shared" si="7"/>
        <v>0</v>
      </c>
      <c r="AF53" s="182"/>
      <c r="AG53" s="182"/>
      <c r="AH53" s="202"/>
      <c r="AI53" s="203"/>
      <c r="AJ53" s="108">
        <f t="shared" si="10"/>
        <v>0</v>
      </c>
      <c r="AK53" s="163"/>
      <c r="AL53" s="258">
        <f t="shared" si="8"/>
        <v>0</v>
      </c>
      <c r="AM53" s="221">
        <v>21</v>
      </c>
      <c r="AN53" s="16"/>
      <c r="AR53" s="92"/>
      <c r="AS53" s="11"/>
      <c r="AT53" s="11"/>
      <c r="AU53" s="2"/>
      <c r="AV53" s="2"/>
      <c r="AY53" s="12"/>
      <c r="AZ53" s="2"/>
      <c r="BA53" s="12"/>
      <c r="BB53" s="2"/>
    </row>
    <row r="54" spans="1:54" ht="18.75" x14ac:dyDescent="0.3">
      <c r="A54" s="280"/>
      <c r="B54" s="135"/>
      <c r="C54" s="135"/>
      <c r="D54" s="135"/>
      <c r="E54" s="135"/>
      <c r="F54" s="135"/>
      <c r="G54" s="135"/>
      <c r="H54" s="135"/>
      <c r="I54" s="135"/>
      <c r="J54" s="135"/>
      <c r="K54" s="135"/>
      <c r="L54" s="135"/>
      <c r="M54" s="135"/>
      <c r="N54" s="135"/>
      <c r="O54" s="135"/>
      <c r="P54" s="135"/>
      <c r="Q54" s="124"/>
      <c r="R54" s="135"/>
      <c r="S54" s="124"/>
      <c r="T54" s="124"/>
      <c r="U54" s="124"/>
      <c r="V54" s="124"/>
      <c r="W54" s="135"/>
      <c r="X54" s="182">
        <v>22</v>
      </c>
      <c r="Y54" s="200"/>
      <c r="Z54" s="201"/>
      <c r="AA54" s="182"/>
      <c r="AB54" s="182"/>
      <c r="AC54" s="277"/>
      <c r="AD54" s="108"/>
      <c r="AE54" s="108">
        <f t="shared" si="7"/>
        <v>0</v>
      </c>
      <c r="AF54" s="182"/>
      <c r="AG54" s="182"/>
      <c r="AH54" s="202"/>
      <c r="AI54" s="203"/>
      <c r="AJ54" s="108">
        <f t="shared" si="10"/>
        <v>0</v>
      </c>
      <c r="AK54" s="163"/>
      <c r="AL54" s="258">
        <f t="shared" si="8"/>
        <v>0</v>
      </c>
      <c r="AM54" s="221">
        <v>22</v>
      </c>
      <c r="AN54" s="22"/>
      <c r="AR54" s="92"/>
      <c r="AS54" s="11"/>
      <c r="AT54" s="11"/>
      <c r="AU54" s="2"/>
      <c r="AV54" s="2"/>
      <c r="AY54" s="12"/>
      <c r="AZ54" s="2"/>
      <c r="BA54" s="12"/>
      <c r="BB54" s="2"/>
    </row>
    <row r="55" spans="1:54" ht="18.75" x14ac:dyDescent="0.3">
      <c r="A55" s="280"/>
      <c r="B55" s="135"/>
      <c r="C55" s="135"/>
      <c r="D55" s="135"/>
      <c r="E55" s="135"/>
      <c r="F55" s="135"/>
      <c r="G55" s="135"/>
      <c r="H55" s="135"/>
      <c r="I55" s="135"/>
      <c r="J55" s="135"/>
      <c r="K55" s="135"/>
      <c r="L55" s="135"/>
      <c r="M55" s="135"/>
      <c r="N55" s="135"/>
      <c r="O55" s="135"/>
      <c r="P55" s="135"/>
      <c r="Q55" s="124"/>
      <c r="R55" s="135"/>
      <c r="S55" s="124"/>
      <c r="T55" s="124"/>
      <c r="U55" s="124"/>
      <c r="V55" s="124"/>
      <c r="W55" s="135"/>
      <c r="X55" s="182">
        <v>23</v>
      </c>
      <c r="Y55" s="217"/>
      <c r="Z55" s="201"/>
      <c r="AA55" s="182"/>
      <c r="AB55" s="221"/>
      <c r="AC55" s="277"/>
      <c r="AD55" s="108"/>
      <c r="AE55" s="108">
        <f t="shared" si="7"/>
        <v>0</v>
      </c>
      <c r="AF55" s="182"/>
      <c r="AG55" s="216"/>
      <c r="AH55" s="202"/>
      <c r="AI55" s="203"/>
      <c r="AJ55" s="108">
        <f t="shared" si="10"/>
        <v>0</v>
      </c>
      <c r="AK55" s="163"/>
      <c r="AL55" s="258">
        <f t="shared" si="8"/>
        <v>0</v>
      </c>
      <c r="AM55" s="221">
        <v>23</v>
      </c>
      <c r="AN55" s="22"/>
      <c r="AR55" s="92"/>
      <c r="AS55" s="2"/>
      <c r="AT55" s="2"/>
      <c r="AU55" s="2"/>
      <c r="AV55" s="2"/>
      <c r="AY55" s="2"/>
      <c r="AZ55" s="2"/>
      <c r="BA55" s="12"/>
      <c r="BB55" s="2"/>
    </row>
    <row r="56" spans="1:54" ht="18.75" x14ac:dyDescent="0.3">
      <c r="A56" s="280"/>
      <c r="B56" s="135"/>
      <c r="C56" s="135"/>
      <c r="D56" s="135"/>
      <c r="E56" s="135"/>
      <c r="F56" s="135"/>
      <c r="G56" s="135"/>
      <c r="H56" s="135"/>
      <c r="I56" s="135"/>
      <c r="J56" s="135"/>
      <c r="K56" s="135"/>
      <c r="L56" s="135"/>
      <c r="M56" s="135"/>
      <c r="N56" s="135"/>
      <c r="O56" s="135"/>
      <c r="P56" s="135"/>
      <c r="Q56" s="124"/>
      <c r="R56" s="135"/>
      <c r="S56" s="124"/>
      <c r="T56" s="124"/>
      <c r="U56" s="124"/>
      <c r="V56" s="124"/>
      <c r="W56" s="135"/>
      <c r="X56" s="182">
        <v>24</v>
      </c>
      <c r="Y56" s="200"/>
      <c r="Z56" s="201"/>
      <c r="AA56" s="182"/>
      <c r="AB56" s="182"/>
      <c r="AC56" s="277"/>
      <c r="AD56" s="108"/>
      <c r="AE56" s="108">
        <f t="shared" si="7"/>
        <v>0</v>
      </c>
      <c r="AF56" s="182"/>
      <c r="AG56" s="182"/>
      <c r="AH56" s="202"/>
      <c r="AI56" s="203"/>
      <c r="AJ56" s="108">
        <f t="shared" si="10"/>
        <v>0</v>
      </c>
      <c r="AK56" s="301"/>
      <c r="AL56" s="258">
        <f t="shared" si="8"/>
        <v>0</v>
      </c>
      <c r="AM56" s="221">
        <v>24</v>
      </c>
      <c r="AN56" s="22"/>
      <c r="AR56" s="2"/>
      <c r="AS56" s="2"/>
      <c r="AT56" s="2"/>
      <c r="AU56" s="2"/>
      <c r="AV56" s="2"/>
      <c r="AY56" s="2"/>
      <c r="AZ56" s="2"/>
      <c r="BA56" s="2"/>
      <c r="BB56" s="2"/>
    </row>
    <row r="57" spans="1:54" ht="18.75" x14ac:dyDescent="0.3">
      <c r="A57" s="280"/>
      <c r="B57" s="135"/>
      <c r="C57" s="135"/>
      <c r="D57" s="135"/>
      <c r="E57" s="135"/>
      <c r="F57" s="135"/>
      <c r="G57" s="135"/>
      <c r="H57" s="135"/>
      <c r="I57" s="135"/>
      <c r="J57" s="135"/>
      <c r="K57" s="135"/>
      <c r="L57" s="135"/>
      <c r="M57" s="135"/>
      <c r="N57" s="135"/>
      <c r="O57" s="135"/>
      <c r="P57" s="135"/>
      <c r="Q57" s="124"/>
      <c r="R57" s="135"/>
      <c r="S57" s="124"/>
      <c r="T57" s="124"/>
      <c r="U57" s="124"/>
      <c r="V57" s="124"/>
      <c r="W57" s="135"/>
      <c r="X57" s="182">
        <v>25</v>
      </c>
      <c r="Y57" s="200"/>
      <c r="Z57" s="201"/>
      <c r="AA57" s="182"/>
      <c r="AB57" s="182"/>
      <c r="AC57" s="277"/>
      <c r="AD57" s="108"/>
      <c r="AE57" s="108">
        <f t="shared" si="7"/>
        <v>0</v>
      </c>
      <c r="AF57" s="182"/>
      <c r="AG57" s="182"/>
      <c r="AH57" s="202"/>
      <c r="AI57" s="203"/>
      <c r="AJ57" s="108">
        <f t="shared" si="10"/>
        <v>0</v>
      </c>
      <c r="AK57" s="163"/>
      <c r="AL57" s="258">
        <f t="shared" si="8"/>
        <v>0</v>
      </c>
      <c r="AM57" s="221">
        <v>25</v>
      </c>
      <c r="AN57" s="36"/>
      <c r="AR57" s="92"/>
      <c r="AS57" s="2"/>
      <c r="AT57" s="2"/>
      <c r="AU57" s="2"/>
      <c r="AV57" s="2"/>
      <c r="AY57" s="2"/>
      <c r="AZ57" s="2"/>
      <c r="BA57" s="2"/>
      <c r="BB57" s="2"/>
    </row>
    <row r="58" spans="1:54" ht="18.75" x14ac:dyDescent="0.3">
      <c r="A58" s="280"/>
      <c r="B58" s="135"/>
      <c r="C58" s="135"/>
      <c r="D58" s="135"/>
      <c r="E58" s="135"/>
      <c r="F58" s="135"/>
      <c r="G58" s="135"/>
      <c r="H58" s="135"/>
      <c r="I58" s="135"/>
      <c r="J58" s="135"/>
      <c r="K58" s="135"/>
      <c r="L58" s="135"/>
      <c r="M58" s="135"/>
      <c r="N58" s="135"/>
      <c r="O58" s="135"/>
      <c r="P58" s="135"/>
      <c r="Q58" s="124"/>
      <c r="R58" s="135"/>
      <c r="S58" s="124"/>
      <c r="T58" s="124"/>
      <c r="U58" s="124"/>
      <c r="V58" s="124"/>
      <c r="W58" s="135"/>
      <c r="X58" s="182">
        <v>26</v>
      </c>
      <c r="Y58" s="200"/>
      <c r="Z58" s="201"/>
      <c r="AA58" s="182"/>
      <c r="AB58" s="182"/>
      <c r="AC58" s="277"/>
      <c r="AD58" s="108"/>
      <c r="AE58" s="108">
        <f t="shared" si="7"/>
        <v>0</v>
      </c>
      <c r="AF58" s="182"/>
      <c r="AG58" s="182"/>
      <c r="AH58" s="202"/>
      <c r="AI58" s="203"/>
      <c r="AJ58" s="108">
        <f t="shared" si="10"/>
        <v>0</v>
      </c>
      <c r="AK58" s="163"/>
      <c r="AL58" s="258">
        <f t="shared" si="8"/>
        <v>0</v>
      </c>
      <c r="AM58" s="221">
        <v>26</v>
      </c>
      <c r="AN58" s="16"/>
      <c r="AR58" s="2"/>
      <c r="AS58" s="2"/>
      <c r="AT58" s="2"/>
      <c r="AU58" s="2"/>
      <c r="AV58" s="2"/>
      <c r="AY58" s="2"/>
      <c r="AZ58" s="2"/>
      <c r="BA58" s="2"/>
      <c r="BB58" s="2"/>
    </row>
    <row r="59" spans="1:54" ht="18.75" x14ac:dyDescent="0.3">
      <c r="A59" s="280"/>
      <c r="B59" s="135"/>
      <c r="C59" s="135"/>
      <c r="D59" s="135"/>
      <c r="E59" s="135"/>
      <c r="F59" s="135"/>
      <c r="G59" s="135"/>
      <c r="H59" s="135"/>
      <c r="I59" s="135"/>
      <c r="J59" s="135"/>
      <c r="K59" s="135"/>
      <c r="L59" s="135"/>
      <c r="M59" s="135"/>
      <c r="N59" s="135"/>
      <c r="O59" s="135"/>
      <c r="P59" s="135"/>
      <c r="Q59" s="124"/>
      <c r="R59" s="135"/>
      <c r="S59" s="124"/>
      <c r="T59" s="124"/>
      <c r="U59" s="124"/>
      <c r="V59" s="124"/>
      <c r="W59" s="135"/>
      <c r="X59" s="182">
        <v>27</v>
      </c>
      <c r="Y59" s="200"/>
      <c r="Z59" s="201"/>
      <c r="AA59" s="182"/>
      <c r="AB59" s="182"/>
      <c r="AC59" s="277"/>
      <c r="AD59" s="108"/>
      <c r="AE59" s="108">
        <f t="shared" si="7"/>
        <v>0</v>
      </c>
      <c r="AF59" s="182"/>
      <c r="AG59" s="182"/>
      <c r="AH59" s="202"/>
      <c r="AI59" s="203"/>
      <c r="AJ59" s="108">
        <f t="shared" si="10"/>
        <v>0</v>
      </c>
      <c r="AK59" s="163"/>
      <c r="AL59" s="258">
        <f t="shared" si="8"/>
        <v>0</v>
      </c>
      <c r="AM59" s="221">
        <v>27</v>
      </c>
      <c r="AN59" s="16"/>
      <c r="AR59" s="2"/>
      <c r="AS59" s="2"/>
      <c r="AT59" s="2"/>
      <c r="AU59" s="2"/>
      <c r="AV59" s="12"/>
      <c r="AY59" s="2"/>
      <c r="AZ59" s="2"/>
      <c r="BA59" s="2"/>
      <c r="BB59" s="2"/>
    </row>
    <row r="60" spans="1:54" ht="18.75" x14ac:dyDescent="0.3">
      <c r="A60" s="280"/>
      <c r="B60" s="135"/>
      <c r="C60" s="135"/>
      <c r="D60" s="135"/>
      <c r="E60" s="135"/>
      <c r="F60" s="135"/>
      <c r="G60" s="135"/>
      <c r="H60" s="135"/>
      <c r="I60" s="135"/>
      <c r="J60" s="135"/>
      <c r="K60" s="135"/>
      <c r="L60" s="135"/>
      <c r="M60" s="135"/>
      <c r="N60" s="135"/>
      <c r="O60" s="135"/>
      <c r="P60" s="135"/>
      <c r="Q60" s="124"/>
      <c r="R60" s="135"/>
      <c r="S60" s="124"/>
      <c r="T60" s="124"/>
      <c r="U60" s="124"/>
      <c r="V60" s="124"/>
      <c r="W60" s="135"/>
      <c r="X60" s="182">
        <v>28</v>
      </c>
      <c r="Y60" s="200"/>
      <c r="Z60" s="201"/>
      <c r="AA60" s="182"/>
      <c r="AB60" s="227"/>
      <c r="AC60" s="277"/>
      <c r="AD60" s="108"/>
      <c r="AE60" s="108">
        <f t="shared" si="7"/>
        <v>0</v>
      </c>
      <c r="AF60" s="182"/>
      <c r="AG60" s="182"/>
      <c r="AH60" s="202"/>
      <c r="AI60" s="203"/>
      <c r="AJ60" s="108">
        <f t="shared" si="10"/>
        <v>0</v>
      </c>
      <c r="AK60" s="163"/>
      <c r="AL60" s="258">
        <f t="shared" si="8"/>
        <v>0</v>
      </c>
      <c r="AM60" s="221">
        <v>28</v>
      </c>
      <c r="AN60" s="16"/>
      <c r="AR60" s="12"/>
      <c r="AS60" s="2"/>
      <c r="AT60" s="2"/>
      <c r="AU60" s="2"/>
      <c r="AV60" s="12"/>
      <c r="AY60" s="2"/>
      <c r="AZ60" s="2"/>
      <c r="BA60" s="2"/>
      <c r="BB60" s="2"/>
    </row>
    <row r="61" spans="1:54" ht="18.75" x14ac:dyDescent="0.3">
      <c r="A61" s="280"/>
      <c r="B61" s="135"/>
      <c r="C61" s="135"/>
      <c r="D61" s="135"/>
      <c r="E61" s="135"/>
      <c r="F61" s="135"/>
      <c r="G61" s="135"/>
      <c r="H61" s="135"/>
      <c r="I61" s="135"/>
      <c r="J61" s="135"/>
      <c r="K61" s="135"/>
      <c r="L61" s="135"/>
      <c r="M61" s="135"/>
      <c r="N61" s="135"/>
      <c r="O61" s="135"/>
      <c r="P61" s="135"/>
      <c r="Q61" s="124"/>
      <c r="R61" s="135"/>
      <c r="S61" s="124"/>
      <c r="T61" s="124"/>
      <c r="U61" s="124"/>
      <c r="V61" s="124"/>
      <c r="W61" s="135"/>
      <c r="X61" s="182">
        <v>29</v>
      </c>
      <c r="Y61" s="223"/>
      <c r="Z61" s="224"/>
      <c r="AA61" s="208"/>
      <c r="AB61" s="208"/>
      <c r="AC61" s="277"/>
      <c r="AD61" s="210"/>
      <c r="AE61" s="108">
        <f t="shared" si="7"/>
        <v>0</v>
      </c>
      <c r="AF61" s="182"/>
      <c r="AG61" s="182"/>
      <c r="AH61" s="282"/>
      <c r="AI61" s="203"/>
      <c r="AJ61" s="108">
        <f t="shared" si="10"/>
        <v>0</v>
      </c>
      <c r="AK61" s="306"/>
      <c r="AL61" s="258">
        <f t="shared" si="8"/>
        <v>0</v>
      </c>
      <c r="AM61" s="221">
        <v>29</v>
      </c>
      <c r="AN61" s="16"/>
      <c r="AR61" s="12"/>
      <c r="AS61" s="2"/>
      <c r="AT61" s="2"/>
      <c r="AU61" s="2"/>
      <c r="AV61" s="12"/>
    </row>
    <row r="62" spans="1:54" ht="18.75" x14ac:dyDescent="0.3">
      <c r="A62" s="280"/>
      <c r="B62" s="135"/>
      <c r="C62" s="135"/>
      <c r="D62" s="135"/>
      <c r="E62" s="135"/>
      <c r="F62" s="135"/>
      <c r="G62" s="135"/>
      <c r="H62" s="135"/>
      <c r="I62" s="135"/>
      <c r="J62" s="135"/>
      <c r="K62" s="135"/>
      <c r="L62" s="135"/>
      <c r="M62" s="135"/>
      <c r="N62" s="135"/>
      <c r="O62" s="135"/>
      <c r="P62" s="135"/>
      <c r="Q62" s="124"/>
      <c r="R62" s="135"/>
      <c r="S62" s="124"/>
      <c r="T62" s="124"/>
      <c r="U62" s="124"/>
      <c r="V62" s="124"/>
      <c r="W62" s="135"/>
      <c r="X62" s="182">
        <v>30</v>
      </c>
      <c r="Y62" s="223"/>
      <c r="Z62" s="224"/>
      <c r="AA62" s="208"/>
      <c r="AB62" s="208"/>
      <c r="AC62" s="277"/>
      <c r="AD62" s="108"/>
      <c r="AE62" s="108">
        <f t="shared" si="7"/>
        <v>0</v>
      </c>
      <c r="AF62" s="182"/>
      <c r="AG62" s="283"/>
      <c r="AH62" s="284"/>
      <c r="AI62" s="285"/>
      <c r="AJ62" s="286">
        <f t="shared" si="10"/>
        <v>0</v>
      </c>
      <c r="AK62" s="301"/>
      <c r="AL62" s="307">
        <f t="shared" si="8"/>
        <v>0</v>
      </c>
      <c r="AM62" s="221">
        <v>30</v>
      </c>
      <c r="AN62" s="16"/>
      <c r="AR62" s="2"/>
      <c r="AS62" s="2"/>
      <c r="AT62" s="2"/>
      <c r="AU62" s="2"/>
      <c r="AV62" s="12"/>
    </row>
    <row r="63" spans="1:54" ht="18.75" x14ac:dyDescent="0.3">
      <c r="A63" s="280"/>
      <c r="B63" s="135"/>
      <c r="C63" s="135"/>
      <c r="D63" s="135"/>
      <c r="E63" s="135"/>
      <c r="F63" s="135"/>
      <c r="G63" s="135"/>
      <c r="H63" s="135"/>
      <c r="I63" s="135"/>
      <c r="J63" s="135"/>
      <c r="K63" s="135"/>
      <c r="L63" s="135"/>
      <c r="M63" s="135"/>
      <c r="N63" s="135"/>
      <c r="O63" s="135"/>
      <c r="P63" s="135"/>
      <c r="Q63" s="124"/>
      <c r="R63" s="135"/>
      <c r="S63" s="124"/>
      <c r="T63" s="124"/>
      <c r="U63" s="124"/>
      <c r="V63" s="124"/>
      <c r="W63" s="135"/>
      <c r="X63" s="24"/>
      <c r="Y63" s="160"/>
      <c r="Z63" s="161"/>
      <c r="AA63" s="24"/>
      <c r="AB63" s="24"/>
      <c r="AC63" s="277">
        <f>SUM(AC33:AC62)</f>
        <v>0</v>
      </c>
      <c r="AD63" s="287"/>
      <c r="AE63" s="163"/>
      <c r="AF63" s="24"/>
      <c r="AG63" s="288"/>
      <c r="AH63" s="289" t="s">
        <v>75</v>
      </c>
      <c r="AI63" s="290"/>
      <c r="AJ63" s="291">
        <f>SUM(AJ3:AJ62)</f>
        <v>0</v>
      </c>
      <c r="AK63" s="163"/>
      <c r="AL63" s="258">
        <f t="shared" si="8"/>
        <v>0</v>
      </c>
      <c r="AM63" s="38"/>
      <c r="AN63" s="16"/>
      <c r="AR63" s="2"/>
      <c r="AS63" s="2"/>
      <c r="AT63" s="2"/>
      <c r="AU63" s="2"/>
      <c r="AV63" s="12"/>
    </row>
    <row r="64" spans="1:54" ht="18.75" x14ac:dyDescent="0.3">
      <c r="A64" s="280"/>
      <c r="B64" s="135"/>
      <c r="C64" s="135"/>
      <c r="D64" s="135"/>
      <c r="E64" s="135"/>
      <c r="F64" s="135"/>
      <c r="G64" s="135"/>
      <c r="H64" s="135"/>
      <c r="I64" s="135"/>
      <c r="J64" s="135"/>
      <c r="K64" s="135"/>
      <c r="L64" s="135"/>
      <c r="M64" s="135"/>
      <c r="N64" s="135"/>
      <c r="O64" s="135"/>
      <c r="P64" s="135"/>
      <c r="Q64" s="124"/>
      <c r="R64" s="135"/>
      <c r="S64" s="124"/>
      <c r="T64" s="124"/>
      <c r="U64" s="124"/>
      <c r="V64" s="124"/>
      <c r="W64" s="135"/>
      <c r="X64" s="24"/>
      <c r="Y64" s="292"/>
      <c r="Z64" s="293"/>
      <c r="AA64" s="32"/>
      <c r="AB64" s="294"/>
      <c r="AC64" s="295" t="s">
        <v>16</v>
      </c>
      <c r="AD64" s="296">
        <f>SUM(AD33:AD63)</f>
        <v>0</v>
      </c>
      <c r="AE64" s="163"/>
      <c r="AF64" s="24"/>
      <c r="AG64" s="24"/>
      <c r="AH64" s="297"/>
      <c r="AI64" s="165"/>
      <c r="AJ64" s="163"/>
      <c r="AK64" s="163"/>
      <c r="AL64" s="124"/>
      <c r="AM64" s="124"/>
      <c r="AN64" s="36"/>
      <c r="AR64" s="2"/>
      <c r="AS64" s="2"/>
      <c r="AT64" s="2"/>
      <c r="AU64" s="2"/>
      <c r="AV64" s="12"/>
    </row>
    <row r="65" spans="1:55" ht="18.75" x14ac:dyDescent="0.3">
      <c r="A65" s="280"/>
      <c r="B65" s="135"/>
      <c r="C65" s="135"/>
      <c r="D65" s="135"/>
      <c r="E65" s="135"/>
      <c r="F65" s="135"/>
      <c r="G65" s="135"/>
      <c r="H65" s="135"/>
      <c r="I65" s="135"/>
      <c r="J65" s="135"/>
      <c r="K65" s="135"/>
      <c r="L65" s="135"/>
      <c r="M65" s="135"/>
      <c r="N65" s="135"/>
      <c r="O65" s="135"/>
      <c r="P65" s="135"/>
      <c r="Q65" s="124"/>
      <c r="R65" s="135"/>
      <c r="S65" s="124"/>
      <c r="T65" s="124"/>
      <c r="U65" s="124"/>
      <c r="V65" s="124"/>
      <c r="W65" s="135"/>
      <c r="X65" s="24"/>
      <c r="Y65" s="160"/>
      <c r="Z65" s="161"/>
      <c r="AA65" s="24"/>
      <c r="AB65" s="24"/>
      <c r="AC65" s="163"/>
      <c r="AD65" s="163"/>
      <c r="AE65" s="163"/>
      <c r="AF65" s="24"/>
      <c r="AG65" s="24"/>
      <c r="AH65" s="297"/>
      <c r="AI65" s="165"/>
      <c r="AJ65" s="163"/>
      <c r="AK65" s="163"/>
      <c r="AL65" s="24"/>
      <c r="AM65" s="308"/>
      <c r="AN65" s="16"/>
      <c r="AR65" s="2"/>
      <c r="AS65" s="2"/>
      <c r="AT65" s="2"/>
      <c r="AU65" s="2"/>
      <c r="AV65" s="2"/>
    </row>
    <row r="66" spans="1:55" ht="18.75" x14ac:dyDescent="0.3">
      <c r="A66" s="280"/>
      <c r="B66" s="135"/>
      <c r="C66" s="135"/>
      <c r="D66" s="135"/>
      <c r="E66" s="135"/>
      <c r="F66" s="135"/>
      <c r="G66" s="135"/>
      <c r="H66" s="135"/>
      <c r="I66" s="135"/>
      <c r="J66" s="135"/>
      <c r="K66" s="135"/>
      <c r="L66" s="135"/>
      <c r="M66" s="135"/>
      <c r="N66" s="135"/>
      <c r="O66" s="135"/>
      <c r="P66" s="135"/>
      <c r="Q66" s="124"/>
      <c r="R66" s="135"/>
      <c r="S66" s="124"/>
      <c r="T66" s="124"/>
      <c r="U66" s="124"/>
      <c r="V66" s="124"/>
      <c r="W66" s="135"/>
      <c r="X66" s="24"/>
      <c r="Y66" s="160"/>
      <c r="Z66" s="161"/>
      <c r="AA66" s="24"/>
      <c r="AB66" s="24"/>
      <c r="AC66" s="163"/>
      <c r="AD66" s="163"/>
      <c r="AE66" s="163"/>
      <c r="AF66" s="24"/>
      <c r="AG66" s="24"/>
      <c r="AH66" s="297"/>
      <c r="AI66" s="202" t="s">
        <v>76</v>
      </c>
      <c r="AJ66" s="163"/>
      <c r="AK66" s="163"/>
      <c r="AL66" s="24"/>
      <c r="AM66" s="308"/>
      <c r="AN66" s="16"/>
      <c r="AR66" s="2"/>
      <c r="AS66" s="2"/>
      <c r="AT66" s="2"/>
      <c r="AU66" s="2"/>
      <c r="AV66" s="2"/>
    </row>
    <row r="67" spans="1:55" ht="18.75" x14ac:dyDescent="0.3">
      <c r="A67" s="280"/>
      <c r="B67" s="135"/>
      <c r="C67" s="135"/>
      <c r="D67" s="135"/>
      <c r="E67" s="135"/>
      <c r="F67" s="135"/>
      <c r="G67" s="135"/>
      <c r="H67" s="135"/>
      <c r="I67" s="135"/>
      <c r="J67" s="135"/>
      <c r="K67" s="135"/>
      <c r="L67" s="135"/>
      <c r="M67" s="135"/>
      <c r="N67" s="135"/>
      <c r="O67" s="135"/>
      <c r="P67" s="135"/>
      <c r="Q67" s="124"/>
      <c r="R67" s="135"/>
      <c r="S67" s="124"/>
      <c r="T67" s="124"/>
      <c r="U67" s="124"/>
      <c r="V67" s="124"/>
      <c r="W67" s="135"/>
      <c r="X67" s="24"/>
      <c r="Y67" s="160"/>
      <c r="Z67" s="161"/>
      <c r="AA67" s="24"/>
      <c r="AB67" s="24"/>
      <c r="AC67" s="231" t="s">
        <v>16</v>
      </c>
      <c r="AD67" s="231">
        <f>AD30</f>
        <v>0</v>
      </c>
      <c r="AE67" s="163"/>
      <c r="AF67" s="24"/>
      <c r="AG67" s="24"/>
      <c r="AH67" s="297"/>
      <c r="AI67" s="233"/>
      <c r="AJ67" s="291">
        <f>AJ63</f>
        <v>0</v>
      </c>
      <c r="AK67" s="163"/>
      <c r="AL67" s="24"/>
      <c r="AM67" s="308"/>
      <c r="AN67" s="16"/>
      <c r="AR67" s="2"/>
      <c r="AS67" s="2"/>
      <c r="AT67" s="2"/>
      <c r="AU67" s="2"/>
      <c r="AV67" s="2"/>
    </row>
    <row r="68" spans="1:55" ht="18.75" x14ac:dyDescent="0.3">
      <c r="A68" s="280"/>
      <c r="B68" s="135"/>
      <c r="C68" s="135"/>
      <c r="D68" s="135"/>
      <c r="E68" s="135"/>
      <c r="F68" s="135"/>
      <c r="G68" s="135"/>
      <c r="H68" s="135"/>
      <c r="I68" s="135"/>
      <c r="J68" s="135"/>
      <c r="K68" s="135"/>
      <c r="L68" s="135"/>
      <c r="M68" s="135"/>
      <c r="N68" s="135"/>
      <c r="O68" s="135"/>
      <c r="P68" s="135"/>
      <c r="Q68" s="124"/>
      <c r="R68" s="135"/>
      <c r="S68" s="124"/>
      <c r="T68" s="124"/>
      <c r="U68" s="124"/>
      <c r="V68" s="124"/>
      <c r="W68" s="135"/>
      <c r="X68" s="24"/>
      <c r="Y68" s="160"/>
      <c r="Z68" s="161"/>
      <c r="AA68" s="24"/>
      <c r="AB68" s="24"/>
      <c r="AC68" s="295" t="s">
        <v>16</v>
      </c>
      <c r="AD68" s="296">
        <f>AD64</f>
        <v>0</v>
      </c>
      <c r="AE68" s="163"/>
      <c r="AF68" s="24"/>
      <c r="AG68" s="24"/>
      <c r="AH68" s="297"/>
      <c r="AI68" s="298" t="s">
        <v>32</v>
      </c>
      <c r="AJ68" s="295">
        <f>'JANV 2026'!AJ69</f>
        <v>0</v>
      </c>
      <c r="AK68" s="163"/>
      <c r="AL68" s="24"/>
      <c r="AM68" s="308"/>
      <c r="AN68" s="16"/>
      <c r="AR68" s="2"/>
      <c r="AS68" s="2"/>
      <c r="AT68" s="2"/>
      <c r="AU68" s="2"/>
      <c r="AV68" s="2"/>
      <c r="BC68" s="20"/>
    </row>
    <row r="69" spans="1:55" ht="18.75" x14ac:dyDescent="0.3">
      <c r="A69" s="280"/>
      <c r="B69" s="135"/>
      <c r="C69" s="135"/>
      <c r="D69" s="135"/>
      <c r="E69" s="135"/>
      <c r="F69" s="135"/>
      <c r="G69" s="135"/>
      <c r="H69" s="135"/>
      <c r="I69" s="135"/>
      <c r="J69" s="135"/>
      <c r="K69" s="135"/>
      <c r="L69" s="135"/>
      <c r="M69" s="135"/>
      <c r="N69" s="135"/>
      <c r="O69" s="135"/>
      <c r="P69" s="135"/>
      <c r="Q69" s="124"/>
      <c r="R69" s="135"/>
      <c r="S69" s="124"/>
      <c r="T69" s="124"/>
      <c r="U69" s="124"/>
      <c r="V69" s="124"/>
      <c r="W69" s="135"/>
      <c r="X69" s="24"/>
      <c r="Y69" s="160"/>
      <c r="Z69" s="161"/>
      <c r="AA69" s="24"/>
      <c r="AB69" s="24"/>
      <c r="AC69" s="299" t="s">
        <v>74</v>
      </c>
      <c r="AD69" s="299">
        <f>SUM(AD67:AD68)</f>
        <v>0</v>
      </c>
      <c r="AE69" s="163"/>
      <c r="AF69" s="24"/>
      <c r="AG69" s="24"/>
      <c r="AH69" s="297"/>
      <c r="AI69" s="298" t="s">
        <v>33</v>
      </c>
      <c r="AJ69" s="300">
        <f>SUM(AJ67:AJ68)</f>
        <v>0</v>
      </c>
      <c r="AK69" s="163"/>
      <c r="AL69" s="24"/>
      <c r="AM69" s="308"/>
      <c r="AN69" s="16"/>
      <c r="AR69" s="2"/>
      <c r="AS69" s="2"/>
      <c r="AT69" s="2"/>
      <c r="AU69" s="2"/>
      <c r="AV69" s="2"/>
      <c r="BC69" s="20"/>
    </row>
    <row r="70" spans="1:55" ht="18.75" x14ac:dyDescent="0.3">
      <c r="A70" s="1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X70" s="16"/>
      <c r="Y70" s="41"/>
      <c r="Z70" s="42"/>
      <c r="AA70" s="20"/>
      <c r="AB70" s="44"/>
      <c r="AC70" s="19"/>
      <c r="AD70" s="19"/>
      <c r="AE70" s="19"/>
      <c r="AF70" s="20"/>
      <c r="AG70" s="20"/>
      <c r="AH70" s="43"/>
      <c r="AI70" s="21"/>
      <c r="AJ70" s="22"/>
      <c r="AK70" s="17"/>
      <c r="AL70" s="16"/>
      <c r="AM70" s="39"/>
      <c r="AN70" s="22"/>
      <c r="AR70" s="2"/>
      <c r="AS70" s="2"/>
      <c r="AT70" s="2"/>
      <c r="AU70" s="2"/>
      <c r="AV70" s="2"/>
    </row>
    <row r="71" spans="1:55" ht="18.75" x14ac:dyDescent="0.3">
      <c r="A71" s="1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X71" s="16"/>
      <c r="Y71" s="45"/>
      <c r="Z71" s="46"/>
      <c r="AA71" s="47"/>
      <c r="AB71" s="47"/>
      <c r="AC71" s="48"/>
      <c r="AD71" s="48"/>
      <c r="AE71" s="19"/>
      <c r="AF71" s="20"/>
      <c r="AG71" s="20"/>
      <c r="AH71" s="43"/>
      <c r="AK71" s="17"/>
      <c r="AL71" s="16"/>
      <c r="AM71" s="39"/>
      <c r="AN71" s="22"/>
      <c r="BA71" s="7"/>
    </row>
    <row r="72" spans="1:55" ht="18.75" x14ac:dyDescent="0.3">
      <c r="A72" s="1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X72" s="16"/>
      <c r="Y72" s="45"/>
      <c r="Z72" s="46"/>
      <c r="AA72" s="47"/>
      <c r="AB72" s="47"/>
      <c r="AC72" s="19"/>
      <c r="AD72" s="19"/>
      <c r="AE72" s="19"/>
      <c r="AF72" s="20"/>
      <c r="AG72" s="20"/>
      <c r="AH72" s="43"/>
      <c r="AK72" s="17"/>
      <c r="AL72" s="16"/>
      <c r="AM72" s="39"/>
      <c r="AN72" s="22"/>
      <c r="AY72" s="7"/>
      <c r="BA72" s="7"/>
    </row>
    <row r="73" spans="1:55" ht="18.75" x14ac:dyDescent="0.3">
      <c r="A73" s="1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X73" s="16"/>
      <c r="Y73" s="41"/>
      <c r="Z73" s="42"/>
      <c r="AA73" s="20"/>
      <c r="AB73" s="20"/>
      <c r="AC73" s="19"/>
      <c r="AD73" s="19"/>
      <c r="AE73" s="19"/>
      <c r="AF73" s="20"/>
      <c r="AG73" s="20"/>
      <c r="AH73" s="49"/>
      <c r="AK73" s="17"/>
      <c r="AL73" s="16"/>
      <c r="AM73" s="40" t="s">
        <v>34</v>
      </c>
      <c r="AN73" s="16"/>
      <c r="AY73" s="7"/>
      <c r="BA73" s="7"/>
    </row>
    <row r="74" spans="1:55" x14ac:dyDescent="0.2">
      <c r="A74" s="1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AY74" s="2"/>
    </row>
    <row r="75" spans="1:55" x14ac:dyDescent="0.2">
      <c r="A75" s="1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AR75" s="2"/>
      <c r="AS75" s="2"/>
      <c r="AT75" s="2"/>
      <c r="AU75" s="2"/>
      <c r="AV75" s="2"/>
      <c r="AY75" s="2"/>
      <c r="AZ75" s="2"/>
      <c r="BA75" s="2"/>
      <c r="BB75" s="2"/>
    </row>
    <row r="76" spans="1:55" x14ac:dyDescent="0.2">
      <c r="A76" s="1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AR76" s="92"/>
      <c r="AS76" s="11"/>
      <c r="AT76" s="11"/>
      <c r="AU76" s="11"/>
      <c r="AV76" s="2"/>
      <c r="AY76" s="2"/>
      <c r="AZ76" s="2"/>
      <c r="BA76" s="12"/>
      <c r="BB76" s="2"/>
    </row>
    <row r="77" spans="1:55" x14ac:dyDescent="0.2">
      <c r="A77" s="12"/>
      <c r="B77" s="2"/>
      <c r="L77" s="2"/>
      <c r="M77" s="2"/>
      <c r="N77" s="2"/>
      <c r="O77" s="2"/>
      <c r="AR77" s="92"/>
      <c r="AS77" s="11"/>
      <c r="AT77" s="11"/>
      <c r="AU77" s="11"/>
      <c r="AV77" s="2"/>
      <c r="AY77" s="12"/>
      <c r="AZ77" s="2"/>
      <c r="BA77" s="12"/>
      <c r="BB77" s="2"/>
    </row>
    <row r="78" spans="1:55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AR78" s="92"/>
      <c r="AS78" s="11"/>
      <c r="AT78" s="11"/>
      <c r="AU78" s="11"/>
      <c r="AV78" s="2"/>
      <c r="AY78" s="12"/>
      <c r="AZ78" s="2"/>
      <c r="BA78" s="12"/>
      <c r="BB78" s="2"/>
    </row>
    <row r="79" spans="1:55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AR79" s="92"/>
      <c r="AS79" s="2"/>
      <c r="AT79" s="2"/>
      <c r="AU79" s="2"/>
      <c r="AV79" s="2"/>
      <c r="AY79" s="2"/>
      <c r="AZ79" s="2"/>
      <c r="BA79" s="12"/>
      <c r="BB79" s="2"/>
    </row>
    <row r="80" spans="1:55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AR80" s="2"/>
      <c r="AS80" s="11"/>
      <c r="AT80" s="11"/>
      <c r="AU80" s="11"/>
      <c r="AV80" s="2"/>
      <c r="AY80" s="2"/>
      <c r="AZ80" s="2"/>
      <c r="BA80" s="2"/>
      <c r="BB80" s="2"/>
    </row>
    <row r="81" spans="1:54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AR81" s="92"/>
      <c r="AS81" s="2"/>
      <c r="AT81" s="2"/>
      <c r="AU81" s="2"/>
      <c r="AV81" s="2"/>
      <c r="AY81" s="2"/>
      <c r="AZ81" s="2"/>
      <c r="BA81" s="2"/>
      <c r="BB81" s="2"/>
    </row>
    <row r="82" spans="1:54" x14ac:dyDescent="0.2">
      <c r="A82" s="2"/>
      <c r="B82" s="2"/>
      <c r="C82" s="2"/>
      <c r="D82" s="2"/>
      <c r="E82" s="2"/>
      <c r="F82" s="2"/>
      <c r="G82" s="2"/>
      <c r="H82" s="2"/>
      <c r="I82" s="2"/>
      <c r="J82" s="13"/>
      <c r="K82" s="2"/>
      <c r="L82" s="2"/>
      <c r="M82" s="2"/>
      <c r="N82" s="2"/>
      <c r="O82" s="2"/>
      <c r="P82" s="2"/>
      <c r="AR82" s="2"/>
      <c r="AS82" s="2"/>
      <c r="AT82" s="2"/>
      <c r="AU82" s="2"/>
      <c r="AV82" s="2"/>
      <c r="AY82" s="2"/>
      <c r="AZ82" s="2"/>
      <c r="BA82" s="2"/>
      <c r="BB82" s="2"/>
    </row>
    <row r="83" spans="1:54" x14ac:dyDescent="0.2">
      <c r="J83" s="13"/>
      <c r="K83" s="2"/>
      <c r="AR83" s="2"/>
      <c r="AS83" s="2"/>
      <c r="AT83" s="2"/>
      <c r="AU83" s="2"/>
      <c r="AV83" s="12"/>
      <c r="AY83" s="2"/>
      <c r="AZ83" s="2"/>
      <c r="BA83" s="2"/>
      <c r="BB83" s="2"/>
    </row>
    <row r="84" spans="1:54" x14ac:dyDescent="0.2">
      <c r="AR84" s="12"/>
      <c r="AS84" s="2"/>
      <c r="AT84" s="2"/>
      <c r="AU84" s="2"/>
      <c r="AV84" s="12"/>
      <c r="AY84" s="2"/>
      <c r="AZ84" s="2"/>
      <c r="BA84" s="2"/>
      <c r="BB84" s="2"/>
    </row>
    <row r="85" spans="1:54" x14ac:dyDescent="0.2">
      <c r="A85" s="2"/>
      <c r="B85" s="2"/>
      <c r="AR85" s="12"/>
      <c r="AS85" s="2"/>
      <c r="AT85" s="2"/>
      <c r="AU85" s="2"/>
      <c r="AV85" s="12"/>
    </row>
    <row r="86" spans="1:54" x14ac:dyDescent="0.2">
      <c r="A86" s="2"/>
      <c r="B86" s="2"/>
      <c r="C86" s="2"/>
      <c r="D86" s="2"/>
      <c r="E86" s="2"/>
      <c r="F86" s="6"/>
      <c r="I86" s="6"/>
      <c r="AR86" s="2"/>
      <c r="AS86" s="2"/>
      <c r="AT86" s="2"/>
      <c r="AU86" s="2"/>
      <c r="AV86" s="12"/>
    </row>
    <row r="87" spans="1:54" x14ac:dyDescent="0.2">
      <c r="C87" s="5"/>
      <c r="F87" s="6"/>
      <c r="AR87" s="2"/>
      <c r="AS87" s="2"/>
      <c r="AT87" s="2"/>
      <c r="AU87" s="2"/>
      <c r="AV87" s="12"/>
    </row>
    <row r="88" spans="1:54" x14ac:dyDescent="0.2">
      <c r="C88" s="5"/>
      <c r="AR88" s="2"/>
      <c r="AS88" s="2"/>
      <c r="AT88" s="2"/>
      <c r="AU88" s="2"/>
      <c r="AV88" s="12"/>
    </row>
    <row r="89" spans="1:54" x14ac:dyDescent="0.2">
      <c r="C89" s="5"/>
      <c r="AR89" s="2"/>
      <c r="AS89" s="2"/>
      <c r="AT89" s="2"/>
      <c r="AU89" s="2"/>
      <c r="AV89" s="2"/>
    </row>
    <row r="90" spans="1:54" x14ac:dyDescent="0.2">
      <c r="C90" s="5"/>
      <c r="AR90" s="2"/>
      <c r="AS90" s="2"/>
      <c r="AT90" s="2"/>
      <c r="AU90" s="2"/>
      <c r="AV90" s="2"/>
    </row>
    <row r="91" spans="1:54" x14ac:dyDescent="0.2">
      <c r="C91" s="5"/>
      <c r="AR91" s="2"/>
      <c r="AS91" s="2"/>
      <c r="AT91" s="2"/>
      <c r="AU91" s="2"/>
      <c r="AV91" s="2"/>
    </row>
    <row r="92" spans="1:54" x14ac:dyDescent="0.2">
      <c r="C92" s="5"/>
      <c r="AR92" s="2"/>
      <c r="AS92" s="2"/>
      <c r="AT92" s="2"/>
      <c r="AU92" s="2"/>
      <c r="AV92" s="2"/>
    </row>
    <row r="93" spans="1:54" x14ac:dyDescent="0.2">
      <c r="C93" s="5"/>
      <c r="AR93" s="2"/>
      <c r="AS93" s="2"/>
      <c r="AT93" s="2"/>
      <c r="AU93" s="2"/>
      <c r="AV93" s="2"/>
    </row>
    <row r="94" spans="1:54" x14ac:dyDescent="0.2">
      <c r="C94" s="5"/>
      <c r="AR94" s="2"/>
      <c r="AS94" s="11"/>
      <c r="AT94" s="11"/>
      <c r="AU94" s="11"/>
      <c r="AV94" s="2"/>
    </row>
    <row r="95" spans="1:54" x14ac:dyDescent="0.2">
      <c r="C95" s="5"/>
    </row>
    <row r="96" spans="1:54" x14ac:dyDescent="0.2">
      <c r="C96" s="5"/>
    </row>
    <row r="97" spans="3:3" x14ac:dyDescent="0.2">
      <c r="C97" s="5"/>
    </row>
    <row r="98" spans="3:3" x14ac:dyDescent="0.2">
      <c r="C98" s="5"/>
    </row>
    <row r="99" spans="3:3" x14ac:dyDescent="0.2">
      <c r="C99" s="5"/>
    </row>
    <row r="100" spans="3:3" x14ac:dyDescent="0.2">
      <c r="C100" s="5"/>
    </row>
    <row r="101" spans="3:3" x14ac:dyDescent="0.2">
      <c r="C101" s="5"/>
    </row>
    <row r="102" spans="3:3" x14ac:dyDescent="0.2">
      <c r="C102" s="5"/>
    </row>
    <row r="103" spans="3:3" x14ac:dyDescent="0.2">
      <c r="C103" s="5"/>
    </row>
    <row r="104" spans="3:3" x14ac:dyDescent="0.2">
      <c r="C104" s="5"/>
    </row>
    <row r="105" spans="3:3" x14ac:dyDescent="0.2">
      <c r="C105" s="5"/>
    </row>
    <row r="106" spans="3:3" x14ac:dyDescent="0.2">
      <c r="C106" s="5"/>
    </row>
    <row r="107" spans="3:3" x14ac:dyDescent="0.2">
      <c r="C107" s="5"/>
    </row>
    <row r="108" spans="3:3" x14ac:dyDescent="0.2">
      <c r="C108" s="5"/>
    </row>
    <row r="109" spans="3:3" x14ac:dyDescent="0.2">
      <c r="C109" s="5"/>
    </row>
    <row r="110" spans="3:3" x14ac:dyDescent="0.2">
      <c r="C110" s="5"/>
    </row>
    <row r="111" spans="3:3" x14ac:dyDescent="0.2">
      <c r="C111" s="5"/>
    </row>
    <row r="112" spans="3:3" x14ac:dyDescent="0.2">
      <c r="C112" s="5"/>
    </row>
    <row r="113" spans="3:3" x14ac:dyDescent="0.2">
      <c r="C113" s="5"/>
    </row>
    <row r="114" spans="3:3" x14ac:dyDescent="0.2">
      <c r="C114" s="5"/>
    </row>
    <row r="115" spans="3:3" x14ac:dyDescent="0.2">
      <c r="C115" s="5"/>
    </row>
    <row r="116" spans="3:3" x14ac:dyDescent="0.2">
      <c r="C116" s="5"/>
    </row>
    <row r="117" spans="3:3" x14ac:dyDescent="0.2">
      <c r="C117" s="5"/>
    </row>
  </sheetData>
  <pageMargins left="0.25" right="0.25" top="0.75" bottom="0.75" header="0.3" footer="0.3"/>
  <pageSetup paperSize="9" scale="83" fitToHeight="0" orientation="landscape" horizontalDpi="4294967292" verticalDpi="4294967292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ED28B-AB7C-4A40-85C8-EDA51AD51F44}">
  <sheetPr published="0">
    <pageSetUpPr fitToPage="1"/>
  </sheetPr>
  <dimension ref="A1:BE117"/>
  <sheetViews>
    <sheetView topLeftCell="M13" zoomScale="70" zoomScaleNormal="70" zoomScalePageLayoutView="85" workbookViewId="0">
      <selection activeCell="AF33" sqref="AF33:AF36"/>
    </sheetView>
  </sheetViews>
  <sheetFormatPr baseColWidth="10" defaultColWidth="11" defaultRowHeight="12.75" x14ac:dyDescent="0.2"/>
  <cols>
    <col min="1" max="1" width="11.25" bestFit="1" customWidth="1"/>
    <col min="2" max="2" width="9.75" customWidth="1"/>
    <col min="3" max="3" width="11.375" customWidth="1"/>
    <col min="4" max="4" width="8.25" customWidth="1"/>
    <col min="5" max="5" width="9.375" customWidth="1"/>
    <col min="6" max="6" width="11.25" customWidth="1"/>
    <col min="7" max="7" width="10.375" customWidth="1"/>
    <col min="8" max="8" width="9.375" customWidth="1"/>
    <col min="9" max="9" width="6.375" customWidth="1"/>
    <col min="10" max="10" width="8.375" customWidth="1"/>
    <col min="11" max="11" width="8.625" customWidth="1"/>
    <col min="12" max="12" width="7" customWidth="1"/>
    <col min="13" max="13" width="8.875" customWidth="1"/>
    <col min="14" max="14" width="8.25" customWidth="1"/>
    <col min="15" max="15" width="10.25" bestFit="1" customWidth="1"/>
    <col min="16" max="16" width="17.25" bestFit="1" customWidth="1"/>
    <col min="17" max="17" width="39.125" customWidth="1"/>
    <col min="18" max="18" width="11" style="2"/>
    <col min="19" max="19" width="8" customWidth="1"/>
    <col min="20" max="20" width="12.375" customWidth="1"/>
    <col min="21" max="21" width="2.625" customWidth="1"/>
    <col min="22" max="22" width="33.75" customWidth="1"/>
    <col min="23" max="23" width="9.375" style="2" customWidth="1"/>
    <col min="24" max="24" width="9.25" customWidth="1"/>
    <col min="25" max="25" width="15" bestFit="1" customWidth="1"/>
    <col min="26" max="26" width="10.375" customWidth="1"/>
    <col min="27" max="27" width="14.5" bestFit="1" customWidth="1"/>
    <col min="28" max="28" width="11.375" customWidth="1"/>
    <col min="29" max="29" width="11.25" bestFit="1" customWidth="1"/>
    <col min="30" max="30" width="8.75" customWidth="1"/>
    <col min="31" max="31" width="12.875" customWidth="1"/>
    <col min="32" max="32" width="13.875" bestFit="1" customWidth="1"/>
    <col min="33" max="33" width="12.375" customWidth="1"/>
    <col min="34" max="34" width="9.25" customWidth="1"/>
    <col min="35" max="35" width="16.75" bestFit="1" customWidth="1"/>
    <col min="36" max="36" width="9.5" bestFit="1" customWidth="1"/>
    <col min="37" max="37" width="9.875" customWidth="1"/>
    <col min="38" max="38" width="10.75" customWidth="1"/>
  </cols>
  <sheetData>
    <row r="1" spans="1:57" ht="19.5" thickBot="1" x14ac:dyDescent="0.35">
      <c r="A1" s="123">
        <v>44834</v>
      </c>
      <c r="B1" s="124"/>
      <c r="C1" s="125" t="s">
        <v>22</v>
      </c>
      <c r="D1" s="125"/>
      <c r="E1" s="125"/>
      <c r="F1" s="126"/>
      <c r="G1" s="127" t="s">
        <v>23</v>
      </c>
      <c r="H1" s="127"/>
      <c r="I1" s="127"/>
      <c r="J1" s="127"/>
      <c r="K1" s="127"/>
      <c r="L1" s="128"/>
      <c r="M1" s="129" t="s">
        <v>6</v>
      </c>
      <c r="N1" s="129"/>
      <c r="O1" s="129"/>
      <c r="P1" s="130" t="s">
        <v>19</v>
      </c>
      <c r="Q1" s="131" t="s">
        <v>11</v>
      </c>
      <c r="R1" s="132" t="s">
        <v>12</v>
      </c>
      <c r="S1" s="133" t="s">
        <v>0</v>
      </c>
      <c r="T1" s="134" t="s">
        <v>13</v>
      </c>
      <c r="U1" s="124"/>
      <c r="V1" s="124"/>
      <c r="W1" s="135"/>
      <c r="X1" s="24"/>
      <c r="Y1" s="136" t="s">
        <v>25</v>
      </c>
      <c r="Z1" s="137" t="s">
        <v>5</v>
      </c>
      <c r="AA1" s="138" t="s">
        <v>26</v>
      </c>
      <c r="AB1" s="138" t="s">
        <v>27</v>
      </c>
      <c r="AC1" s="139" t="s">
        <v>15</v>
      </c>
      <c r="AD1" s="139" t="s">
        <v>16</v>
      </c>
      <c r="AE1" s="139" t="s">
        <v>12</v>
      </c>
      <c r="AF1" s="138" t="s">
        <v>28</v>
      </c>
      <c r="AG1" s="138" t="s">
        <v>29</v>
      </c>
      <c r="AH1" s="140" t="s">
        <v>5</v>
      </c>
      <c r="AI1" s="141" t="s">
        <v>30</v>
      </c>
      <c r="AJ1" s="24"/>
      <c r="AK1" s="301"/>
      <c r="AL1" s="24"/>
      <c r="AM1" s="302"/>
      <c r="AN1" s="16"/>
    </row>
    <row r="2" spans="1:57" s="2" customFormat="1" ht="19.5" thickBot="1" x14ac:dyDescent="0.35">
      <c r="A2" s="142" t="s">
        <v>5</v>
      </c>
      <c r="B2" s="143" t="s">
        <v>20</v>
      </c>
      <c r="C2" s="144">
        <v>6</v>
      </c>
      <c r="D2" s="145">
        <v>12</v>
      </c>
      <c r="E2" s="144">
        <v>21</v>
      </c>
      <c r="F2" s="146" t="s">
        <v>0</v>
      </c>
      <c r="G2" s="147" t="s">
        <v>24</v>
      </c>
      <c r="H2" s="148" t="s">
        <v>1</v>
      </c>
      <c r="I2" s="147" t="s">
        <v>21</v>
      </c>
      <c r="J2" s="147" t="s">
        <v>81</v>
      </c>
      <c r="K2" s="149" t="s">
        <v>2</v>
      </c>
      <c r="L2" s="150" t="s">
        <v>8</v>
      </c>
      <c r="M2" s="151" t="s">
        <v>7</v>
      </c>
      <c r="N2" s="152" t="s">
        <v>4</v>
      </c>
      <c r="O2" s="153" t="s">
        <v>3</v>
      </c>
      <c r="P2" s="154">
        <f>'SEPT 2026'!P33</f>
        <v>268.89999999999998</v>
      </c>
      <c r="Q2" s="155"/>
      <c r="R2" s="156"/>
      <c r="S2" s="157"/>
      <c r="T2" s="158"/>
      <c r="U2" s="135"/>
      <c r="V2" s="159"/>
      <c r="W2" s="135"/>
      <c r="X2" s="24"/>
      <c r="Y2" s="160"/>
      <c r="Z2" s="161"/>
      <c r="AA2" s="24"/>
      <c r="AB2" s="162">
        <v>44834</v>
      </c>
      <c r="AC2" s="163"/>
      <c r="AD2" s="163"/>
      <c r="AE2" s="163"/>
      <c r="AF2" s="24"/>
      <c r="AG2" s="24"/>
      <c r="AH2" s="164"/>
      <c r="AI2" s="165"/>
      <c r="AJ2" s="24"/>
      <c r="AK2" s="163"/>
      <c r="AL2" s="24"/>
      <c r="AM2" s="302"/>
      <c r="AN2" s="16"/>
      <c r="AO2"/>
      <c r="AP2"/>
      <c r="AQ2" s="100"/>
      <c r="AR2" s="100"/>
      <c r="AS2" s="100"/>
      <c r="AT2" s="100"/>
      <c r="AU2" s="100"/>
      <c r="AV2" s="100"/>
      <c r="AW2" s="100"/>
      <c r="AX2"/>
      <c r="AZ2"/>
      <c r="BA2"/>
      <c r="BB2"/>
      <c r="BC2" s="20"/>
      <c r="BE2"/>
    </row>
    <row r="3" spans="1:57" ht="16.5" thickBot="1" x14ac:dyDescent="0.3">
      <c r="A3" s="166">
        <v>44834</v>
      </c>
      <c r="B3" s="167"/>
      <c r="C3" s="168"/>
      <c r="D3" s="168"/>
      <c r="E3" s="169"/>
      <c r="F3" s="170">
        <f>SUM(B3:E3)</f>
        <v>0</v>
      </c>
      <c r="G3" s="171">
        <f>F3</f>
        <v>0</v>
      </c>
      <c r="H3" s="168"/>
      <c r="I3" s="168"/>
      <c r="J3" s="169"/>
      <c r="K3" s="172">
        <f t="shared" ref="K3:K33" si="0">SUM(F3-H3-J3-I3)</f>
        <v>0</v>
      </c>
      <c r="L3" s="173">
        <f t="shared" ref="L3:L33" si="1">SUM(F3-H3-J3-I3)</f>
        <v>0</v>
      </c>
      <c r="M3" s="174"/>
      <c r="N3" s="175"/>
      <c r="O3" s="176">
        <f>SUM(L3-M3-N3+P2)</f>
        <v>268.89999999999998</v>
      </c>
      <c r="P3" s="177"/>
      <c r="Q3" s="178"/>
      <c r="R3" s="179"/>
      <c r="S3" s="180"/>
      <c r="T3" s="181"/>
      <c r="U3" s="124"/>
      <c r="V3" s="124"/>
      <c r="W3" s="135"/>
      <c r="X3" s="182">
        <v>1</v>
      </c>
      <c r="Y3" s="310"/>
      <c r="Z3" s="311"/>
      <c r="AA3" s="312"/>
      <c r="AB3" s="312"/>
      <c r="AC3" s="313"/>
      <c r="AD3" s="313"/>
      <c r="AE3" s="314">
        <f t="shared" ref="AE3:AE29" si="2">SUM(AC3:AD3)</f>
        <v>0</v>
      </c>
      <c r="AF3" s="312"/>
      <c r="AG3" s="312"/>
      <c r="AH3" s="315"/>
      <c r="AI3" s="316"/>
      <c r="AJ3" s="314">
        <v>0</v>
      </c>
      <c r="AK3" s="23"/>
      <c r="AL3" s="24"/>
      <c r="AM3" s="302"/>
      <c r="AN3" s="24"/>
      <c r="AQ3" s="100"/>
      <c r="AR3" s="59"/>
      <c r="AS3" s="59"/>
      <c r="AT3" s="59"/>
      <c r="AU3" s="59"/>
      <c r="AV3" s="59"/>
      <c r="AW3" s="100"/>
      <c r="AY3" s="2"/>
      <c r="AZ3" s="2"/>
      <c r="BA3" s="2"/>
      <c r="BB3" s="2"/>
      <c r="BC3" s="20"/>
      <c r="BD3" s="2"/>
    </row>
    <row r="4" spans="1:57" ht="16.5" thickBot="1" x14ac:dyDescent="0.3">
      <c r="A4" s="166">
        <v>44835</v>
      </c>
      <c r="B4" s="190"/>
      <c r="C4" s="179"/>
      <c r="D4" s="179"/>
      <c r="E4" s="175"/>
      <c r="F4" s="170">
        <f t="shared" ref="F4:F33" si="3">SUM(B4:E4)</f>
        <v>0</v>
      </c>
      <c r="G4" s="171">
        <f t="shared" ref="G4:G33" si="4">F4</f>
        <v>0</v>
      </c>
      <c r="H4" s="179"/>
      <c r="I4" s="191"/>
      <c r="J4" s="175"/>
      <c r="K4" s="192">
        <f t="shared" si="0"/>
        <v>0</v>
      </c>
      <c r="L4" s="193">
        <f t="shared" si="1"/>
        <v>0</v>
      </c>
      <c r="M4" s="174"/>
      <c r="N4" s="194"/>
      <c r="O4" s="195">
        <f>SUM(L4-M4-N4+O3+P4)</f>
        <v>268.89999999999998</v>
      </c>
      <c r="P4" s="196"/>
      <c r="Q4" s="197"/>
      <c r="R4" s="179"/>
      <c r="S4" s="198"/>
      <c r="T4" s="199"/>
      <c r="U4" s="124"/>
      <c r="V4" s="124"/>
      <c r="W4" s="135"/>
      <c r="X4" s="182">
        <v>2</v>
      </c>
      <c r="Y4" s="317"/>
      <c r="Z4" s="318"/>
      <c r="AA4" s="319"/>
      <c r="AB4" s="319"/>
      <c r="AC4" s="314"/>
      <c r="AD4" s="314"/>
      <c r="AE4" s="314">
        <f t="shared" si="2"/>
        <v>0</v>
      </c>
      <c r="AF4" s="319"/>
      <c r="AG4" s="319"/>
      <c r="AH4" s="315"/>
      <c r="AI4" s="316"/>
      <c r="AJ4" s="314">
        <f>AE4</f>
        <v>0</v>
      </c>
      <c r="AK4" s="25"/>
      <c r="AL4" s="124"/>
      <c r="AM4" s="124"/>
      <c r="AN4" s="28"/>
      <c r="AQ4" s="100"/>
      <c r="AR4" s="70"/>
      <c r="AS4" s="71"/>
      <c r="AT4" s="71"/>
      <c r="AU4" s="71"/>
      <c r="AV4" s="59"/>
      <c r="AW4" s="100"/>
      <c r="AY4" s="2"/>
      <c r="AZ4" s="2"/>
      <c r="BA4" s="12"/>
      <c r="BB4" s="2"/>
    </row>
    <row r="5" spans="1:57" ht="16.5" thickBot="1" x14ac:dyDescent="0.3">
      <c r="A5" s="166">
        <v>44836</v>
      </c>
      <c r="B5" s="190"/>
      <c r="C5" s="179"/>
      <c r="D5" s="179"/>
      <c r="E5" s="175"/>
      <c r="F5" s="170">
        <f t="shared" si="3"/>
        <v>0</v>
      </c>
      <c r="G5" s="171">
        <f t="shared" si="4"/>
        <v>0</v>
      </c>
      <c r="H5" s="179"/>
      <c r="I5" s="191"/>
      <c r="J5" s="175"/>
      <c r="K5" s="192">
        <f t="shared" si="0"/>
        <v>0</v>
      </c>
      <c r="L5" s="193">
        <f t="shared" si="1"/>
        <v>0</v>
      </c>
      <c r="M5" s="174"/>
      <c r="N5" s="194"/>
      <c r="O5" s="195">
        <f>SUM(L5-M5-N5+O4+P5)</f>
        <v>268.89999999999998</v>
      </c>
      <c r="P5" s="196"/>
      <c r="Q5" s="178"/>
      <c r="R5" s="179"/>
      <c r="S5" s="180"/>
      <c r="T5" s="181"/>
      <c r="U5" s="124"/>
      <c r="V5" s="124"/>
      <c r="W5" s="135"/>
      <c r="X5" s="182">
        <v>3</v>
      </c>
      <c r="Y5" s="317"/>
      <c r="Z5" s="318"/>
      <c r="AA5" s="319"/>
      <c r="AB5" s="319"/>
      <c r="AC5" s="313"/>
      <c r="AD5" s="313"/>
      <c r="AE5" s="314">
        <f t="shared" si="2"/>
        <v>0</v>
      </c>
      <c r="AF5" s="319"/>
      <c r="AG5" s="319"/>
      <c r="AH5" s="315"/>
      <c r="AI5" s="316"/>
      <c r="AJ5" s="314">
        <v>0</v>
      </c>
      <c r="AK5" s="25"/>
      <c r="AL5" s="124"/>
      <c r="AM5" s="124"/>
      <c r="AN5" s="32"/>
      <c r="AQ5" s="100"/>
      <c r="AR5" s="70"/>
      <c r="AS5" s="71"/>
      <c r="AT5" s="71"/>
      <c r="AU5" s="71"/>
      <c r="AV5" s="59"/>
      <c r="AW5" s="100"/>
      <c r="AY5" s="12"/>
      <c r="AZ5" s="2"/>
      <c r="BA5" s="12"/>
      <c r="BB5" s="2"/>
    </row>
    <row r="6" spans="1:57" ht="19.5" thickBot="1" x14ac:dyDescent="0.35">
      <c r="A6" s="166">
        <v>44837</v>
      </c>
      <c r="B6" s="190"/>
      <c r="C6" s="179"/>
      <c r="D6" s="179"/>
      <c r="E6" s="175"/>
      <c r="F6" s="170">
        <f t="shared" si="3"/>
        <v>0</v>
      </c>
      <c r="G6" s="171">
        <f t="shared" si="4"/>
        <v>0</v>
      </c>
      <c r="H6" s="179"/>
      <c r="I6" s="191"/>
      <c r="J6" s="175"/>
      <c r="K6" s="192">
        <f t="shared" si="0"/>
        <v>0</v>
      </c>
      <c r="L6" s="193">
        <f t="shared" si="1"/>
        <v>0</v>
      </c>
      <c r="M6" s="174"/>
      <c r="N6" s="194"/>
      <c r="O6" s="195">
        <f>SUM(L6-M6-N6+O5+P6)</f>
        <v>268.89999999999998</v>
      </c>
      <c r="P6" s="196"/>
      <c r="Q6" s="178"/>
      <c r="R6" s="179"/>
      <c r="S6" s="198"/>
      <c r="T6" s="199"/>
      <c r="U6" s="124"/>
      <c r="V6" s="124"/>
      <c r="W6" s="135"/>
      <c r="X6" s="182">
        <v>4</v>
      </c>
      <c r="Y6" s="310"/>
      <c r="Z6" s="311"/>
      <c r="AA6" s="312"/>
      <c r="AB6" s="320"/>
      <c r="AC6" s="313"/>
      <c r="AD6" s="313"/>
      <c r="AE6" s="314">
        <f t="shared" si="2"/>
        <v>0</v>
      </c>
      <c r="AF6" s="312"/>
      <c r="AG6" s="312"/>
      <c r="AH6" s="315"/>
      <c r="AI6" s="316"/>
      <c r="AJ6" s="314">
        <v>0</v>
      </c>
      <c r="AK6" s="301"/>
      <c r="AL6" s="124"/>
      <c r="AM6" s="124"/>
      <c r="AN6" s="34"/>
      <c r="AQ6" s="100"/>
      <c r="AR6" s="70"/>
      <c r="AS6" s="71"/>
      <c r="AT6" s="71"/>
      <c r="AU6" s="71"/>
      <c r="AV6" s="59"/>
      <c r="AW6" s="100"/>
      <c r="AY6" s="12"/>
      <c r="AZ6" s="2"/>
      <c r="BA6" s="12"/>
      <c r="BB6" s="2"/>
    </row>
    <row r="7" spans="1:57" ht="16.5" thickBot="1" x14ac:dyDescent="0.3">
      <c r="A7" s="166">
        <v>44838</v>
      </c>
      <c r="B7" s="190"/>
      <c r="C7" s="179"/>
      <c r="D7" s="179"/>
      <c r="E7" s="175"/>
      <c r="F7" s="170">
        <f t="shared" si="3"/>
        <v>0</v>
      </c>
      <c r="G7" s="171">
        <f t="shared" si="4"/>
        <v>0</v>
      </c>
      <c r="H7" s="179"/>
      <c r="I7" s="191"/>
      <c r="J7" s="175"/>
      <c r="K7" s="192">
        <f t="shared" si="0"/>
        <v>0</v>
      </c>
      <c r="L7" s="193">
        <f t="shared" si="1"/>
        <v>0</v>
      </c>
      <c r="M7" s="174"/>
      <c r="N7" s="194"/>
      <c r="O7" s="195">
        <f>SUM(L7-M7-N7+O6+P7)</f>
        <v>268.89999999999998</v>
      </c>
      <c r="P7" s="196"/>
      <c r="Q7" s="178"/>
      <c r="R7" s="179"/>
      <c r="S7" s="180"/>
      <c r="T7" s="199"/>
      <c r="U7" s="124"/>
      <c r="V7" s="124"/>
      <c r="W7" s="135"/>
      <c r="X7" s="182">
        <v>5</v>
      </c>
      <c r="Y7" s="317"/>
      <c r="Z7" s="318"/>
      <c r="AA7" s="319"/>
      <c r="AB7" s="319"/>
      <c r="AC7" s="314"/>
      <c r="AD7" s="314"/>
      <c r="AE7" s="314">
        <f t="shared" si="2"/>
        <v>0</v>
      </c>
      <c r="AF7" s="319"/>
      <c r="AG7" s="312"/>
      <c r="AH7" s="315"/>
      <c r="AI7" s="316"/>
      <c r="AJ7" s="314">
        <v>0</v>
      </c>
      <c r="AK7" s="23"/>
      <c r="AL7" s="124"/>
      <c r="AM7" s="124"/>
      <c r="AN7" s="24"/>
      <c r="AQ7" s="100"/>
      <c r="AR7" s="70"/>
      <c r="AS7" s="59"/>
      <c r="AT7" s="59"/>
      <c r="AU7" s="71"/>
      <c r="AV7" s="59"/>
      <c r="AW7" s="100"/>
      <c r="AY7" s="2"/>
      <c r="AZ7" s="2"/>
      <c r="BA7" s="12"/>
      <c r="BB7" s="2"/>
    </row>
    <row r="8" spans="1:57" ht="19.5" thickBot="1" x14ac:dyDescent="0.35">
      <c r="A8" s="166">
        <v>44839</v>
      </c>
      <c r="B8" s="190"/>
      <c r="C8" s="179"/>
      <c r="D8" s="179"/>
      <c r="E8" s="175"/>
      <c r="F8" s="170">
        <f t="shared" si="3"/>
        <v>0</v>
      </c>
      <c r="G8" s="171">
        <f t="shared" si="4"/>
        <v>0</v>
      </c>
      <c r="H8" s="179"/>
      <c r="I8" s="191"/>
      <c r="J8" s="175"/>
      <c r="K8" s="192">
        <f t="shared" si="0"/>
        <v>0</v>
      </c>
      <c r="L8" s="193">
        <f t="shared" si="1"/>
        <v>0</v>
      </c>
      <c r="M8" s="209"/>
      <c r="N8" s="194"/>
      <c r="O8" s="195">
        <f>SUM(L8-M8-N8+O7+P8)</f>
        <v>268.89999999999998</v>
      </c>
      <c r="P8" s="196"/>
      <c r="Q8" s="178"/>
      <c r="R8" s="179"/>
      <c r="S8" s="180"/>
      <c r="T8" s="199"/>
      <c r="U8" s="124"/>
      <c r="V8" s="124"/>
      <c r="W8" s="135"/>
      <c r="X8" s="182">
        <v>6</v>
      </c>
      <c r="Y8" s="310"/>
      <c r="Z8" s="311"/>
      <c r="AA8" s="312"/>
      <c r="AB8" s="312"/>
      <c r="AC8" s="313"/>
      <c r="AD8" s="313"/>
      <c r="AE8" s="314">
        <f t="shared" si="2"/>
        <v>0</v>
      </c>
      <c r="AF8" s="319"/>
      <c r="AG8" s="312"/>
      <c r="AH8" s="315"/>
      <c r="AI8" s="316"/>
      <c r="AJ8" s="314">
        <v>0</v>
      </c>
      <c r="AK8" s="163"/>
      <c r="AL8" s="124"/>
      <c r="AM8" s="124"/>
      <c r="AN8" s="34"/>
      <c r="AQ8" s="100"/>
      <c r="AR8" s="59"/>
      <c r="AS8" s="71"/>
      <c r="AT8" s="71"/>
      <c r="AU8" s="71"/>
      <c r="AV8" s="59"/>
      <c r="AW8" s="100"/>
      <c r="AY8" s="2"/>
      <c r="AZ8" s="2"/>
      <c r="BA8" s="2"/>
      <c r="BB8" s="2"/>
    </row>
    <row r="9" spans="1:57" ht="16.5" thickBot="1" x14ac:dyDescent="0.3">
      <c r="A9" s="166">
        <v>44840</v>
      </c>
      <c r="B9" s="190"/>
      <c r="C9" s="179"/>
      <c r="D9" s="179"/>
      <c r="E9" s="175"/>
      <c r="F9" s="170">
        <f t="shared" si="3"/>
        <v>0</v>
      </c>
      <c r="G9" s="171">
        <f t="shared" si="4"/>
        <v>0</v>
      </c>
      <c r="H9" s="179"/>
      <c r="I9" s="191"/>
      <c r="J9" s="175"/>
      <c r="K9" s="192">
        <f t="shared" si="0"/>
        <v>0</v>
      </c>
      <c r="L9" s="193">
        <f t="shared" si="1"/>
        <v>0</v>
      </c>
      <c r="M9" s="174"/>
      <c r="N9" s="194"/>
      <c r="O9" s="195">
        <f t="shared" ref="O9:O33" si="5">SUM(L9-M9-N9+O8)</f>
        <v>268.89999999999998</v>
      </c>
      <c r="P9" s="196"/>
      <c r="Q9" s="178"/>
      <c r="R9" s="179"/>
      <c r="S9" s="180"/>
      <c r="T9" s="199"/>
      <c r="U9" s="124"/>
      <c r="V9" s="124"/>
      <c r="W9" s="135"/>
      <c r="X9" s="182">
        <v>7</v>
      </c>
      <c r="Y9" s="200"/>
      <c r="Z9" s="201"/>
      <c r="AA9" s="182"/>
      <c r="AB9" s="182"/>
      <c r="AC9" s="210"/>
      <c r="AD9" s="210"/>
      <c r="AE9" s="108">
        <f t="shared" si="2"/>
        <v>0</v>
      </c>
      <c r="AF9" s="182"/>
      <c r="AG9" s="182"/>
      <c r="AH9" s="202"/>
      <c r="AI9" s="203"/>
      <c r="AJ9" s="108">
        <f>AE9</f>
        <v>0</v>
      </c>
      <c r="AK9" s="163"/>
      <c r="AL9" s="124"/>
      <c r="AM9" s="124"/>
      <c r="AN9" s="24"/>
      <c r="AQ9" s="100"/>
      <c r="AR9" s="70"/>
      <c r="AS9" s="59"/>
      <c r="AT9" s="59"/>
      <c r="AU9" s="59"/>
      <c r="AV9" s="59"/>
      <c r="AW9" s="100"/>
      <c r="AY9" s="2"/>
      <c r="AZ9" s="2"/>
      <c r="BA9" s="2"/>
      <c r="BB9" s="2"/>
    </row>
    <row r="10" spans="1:57" ht="19.5" thickBot="1" x14ac:dyDescent="0.35">
      <c r="A10" s="166">
        <v>44841</v>
      </c>
      <c r="B10" s="190"/>
      <c r="C10" s="179"/>
      <c r="D10" s="179"/>
      <c r="E10" s="175"/>
      <c r="F10" s="170">
        <f t="shared" si="3"/>
        <v>0</v>
      </c>
      <c r="G10" s="171">
        <f t="shared" si="4"/>
        <v>0</v>
      </c>
      <c r="H10" s="179"/>
      <c r="I10" s="191"/>
      <c r="J10" s="175"/>
      <c r="K10" s="192">
        <f t="shared" si="0"/>
        <v>0</v>
      </c>
      <c r="L10" s="193">
        <f t="shared" si="1"/>
        <v>0</v>
      </c>
      <c r="M10" s="174"/>
      <c r="N10" s="194"/>
      <c r="O10" s="195">
        <f t="shared" si="5"/>
        <v>268.89999999999998</v>
      </c>
      <c r="P10" s="196"/>
      <c r="Q10" s="178"/>
      <c r="R10" s="179"/>
      <c r="S10" s="180"/>
      <c r="T10" s="199"/>
      <c r="U10" s="124"/>
      <c r="V10" s="124"/>
      <c r="W10" s="135"/>
      <c r="X10" s="182">
        <v>8</v>
      </c>
      <c r="Y10" s="200"/>
      <c r="Z10" s="201"/>
      <c r="AA10" s="182"/>
      <c r="AB10" s="182"/>
      <c r="AC10" s="210"/>
      <c r="AD10" s="210"/>
      <c r="AE10" s="108">
        <f t="shared" si="2"/>
        <v>0</v>
      </c>
      <c r="AF10" s="182"/>
      <c r="AG10" s="182"/>
      <c r="AH10" s="202"/>
      <c r="AI10" s="203"/>
      <c r="AJ10" s="108">
        <f t="shared" ref="AJ10:AJ29" si="6">AE10</f>
        <v>0</v>
      </c>
      <c r="AK10" s="163"/>
      <c r="AL10" s="124"/>
      <c r="AM10" s="124"/>
      <c r="AN10" s="22"/>
      <c r="AQ10" s="100"/>
      <c r="AR10" s="59"/>
      <c r="AS10" s="59"/>
      <c r="AT10" s="59"/>
      <c r="AU10" s="59"/>
      <c r="AV10" s="59"/>
      <c r="AW10" s="100"/>
      <c r="AY10" s="2"/>
      <c r="AZ10" s="2"/>
      <c r="BA10" s="2"/>
      <c r="BB10" s="2"/>
    </row>
    <row r="11" spans="1:57" ht="19.5" thickBot="1" x14ac:dyDescent="0.35">
      <c r="A11" s="166">
        <v>44842</v>
      </c>
      <c r="B11" s="190"/>
      <c r="C11" s="179"/>
      <c r="D11" s="179"/>
      <c r="E11" s="175"/>
      <c r="F11" s="170">
        <f t="shared" si="3"/>
        <v>0</v>
      </c>
      <c r="G11" s="171">
        <f t="shared" si="4"/>
        <v>0</v>
      </c>
      <c r="H11" s="179"/>
      <c r="I11" s="191"/>
      <c r="J11" s="175"/>
      <c r="K11" s="192">
        <f t="shared" si="0"/>
        <v>0</v>
      </c>
      <c r="L11" s="193">
        <f t="shared" si="1"/>
        <v>0</v>
      </c>
      <c r="M11" s="174"/>
      <c r="N11" s="194"/>
      <c r="O11" s="195">
        <f t="shared" si="5"/>
        <v>268.89999999999998</v>
      </c>
      <c r="P11" s="196"/>
      <c r="Q11" s="211"/>
      <c r="R11" s="212"/>
      <c r="S11" s="198"/>
      <c r="T11" s="213"/>
      <c r="U11" s="124"/>
      <c r="V11" s="124"/>
      <c r="W11" s="135"/>
      <c r="X11" s="182">
        <v>9</v>
      </c>
      <c r="Y11" s="200"/>
      <c r="Z11" s="201"/>
      <c r="AA11" s="182"/>
      <c r="AB11" s="182"/>
      <c r="AC11" s="108"/>
      <c r="AD11" s="108"/>
      <c r="AE11" s="108">
        <f t="shared" si="2"/>
        <v>0</v>
      </c>
      <c r="AF11" s="182"/>
      <c r="AG11" s="182"/>
      <c r="AH11" s="202"/>
      <c r="AI11" s="203"/>
      <c r="AJ11" s="108">
        <f t="shared" si="6"/>
        <v>0</v>
      </c>
      <c r="AK11" s="163"/>
      <c r="AL11" s="124"/>
      <c r="AM11" s="124"/>
      <c r="AN11" s="22"/>
      <c r="AQ11" s="100"/>
      <c r="AR11" s="59"/>
      <c r="AS11" s="59"/>
      <c r="AT11" s="59"/>
      <c r="AU11" s="59"/>
      <c r="AV11" s="75"/>
      <c r="AW11" s="100"/>
      <c r="AY11" s="2"/>
      <c r="AZ11" s="2"/>
      <c r="BA11" s="2"/>
      <c r="BB11" s="2"/>
    </row>
    <row r="12" spans="1:57" ht="19.5" thickBot="1" x14ac:dyDescent="0.35">
      <c r="A12" s="166">
        <v>44843</v>
      </c>
      <c r="B12" s="190"/>
      <c r="C12" s="179"/>
      <c r="D12" s="179"/>
      <c r="E12" s="175"/>
      <c r="F12" s="170">
        <f t="shared" si="3"/>
        <v>0</v>
      </c>
      <c r="G12" s="171">
        <f t="shared" si="4"/>
        <v>0</v>
      </c>
      <c r="H12" s="179"/>
      <c r="I12" s="191"/>
      <c r="J12" s="175"/>
      <c r="K12" s="192">
        <f t="shared" si="0"/>
        <v>0</v>
      </c>
      <c r="L12" s="193">
        <f t="shared" si="1"/>
        <v>0</v>
      </c>
      <c r="M12" s="214"/>
      <c r="N12" s="194"/>
      <c r="O12" s="195">
        <f t="shared" si="5"/>
        <v>268.89999999999998</v>
      </c>
      <c r="P12" s="196"/>
      <c r="Q12" s="211"/>
      <c r="R12" s="212"/>
      <c r="S12" s="198"/>
      <c r="T12" s="213"/>
      <c r="U12" s="124"/>
      <c r="V12" s="124"/>
      <c r="W12" s="135"/>
      <c r="X12" s="182">
        <v>10</v>
      </c>
      <c r="Y12" s="200"/>
      <c r="Z12" s="201"/>
      <c r="AA12" s="182"/>
      <c r="AB12" s="182"/>
      <c r="AC12" s="108"/>
      <c r="AD12" s="108"/>
      <c r="AE12" s="108">
        <f t="shared" si="2"/>
        <v>0</v>
      </c>
      <c r="AF12" s="182"/>
      <c r="AG12" s="182"/>
      <c r="AH12" s="202"/>
      <c r="AI12" s="203"/>
      <c r="AJ12" s="108">
        <f t="shared" si="6"/>
        <v>0</v>
      </c>
      <c r="AK12" s="163"/>
      <c r="AL12" s="124"/>
      <c r="AM12" s="124"/>
      <c r="AN12" s="22"/>
      <c r="AQ12" s="100"/>
      <c r="AR12" s="75"/>
      <c r="AS12" s="59"/>
      <c r="AT12" s="59"/>
      <c r="AU12" s="59"/>
      <c r="AV12" s="75"/>
      <c r="AW12" s="100"/>
      <c r="AY12" s="2"/>
      <c r="AZ12" s="2"/>
      <c r="BA12" s="2"/>
      <c r="BB12" s="2"/>
    </row>
    <row r="13" spans="1:57" ht="19.5" thickBot="1" x14ac:dyDescent="0.35">
      <c r="A13" s="166">
        <v>44844</v>
      </c>
      <c r="B13" s="190"/>
      <c r="C13" s="179"/>
      <c r="D13" s="179"/>
      <c r="E13" s="175"/>
      <c r="F13" s="170">
        <f t="shared" si="3"/>
        <v>0</v>
      </c>
      <c r="G13" s="171">
        <f t="shared" si="4"/>
        <v>0</v>
      </c>
      <c r="H13" s="179"/>
      <c r="I13" s="191"/>
      <c r="J13" s="175"/>
      <c r="K13" s="192">
        <f t="shared" si="0"/>
        <v>0</v>
      </c>
      <c r="L13" s="193">
        <f t="shared" si="1"/>
        <v>0</v>
      </c>
      <c r="M13" s="174"/>
      <c r="N13" s="194"/>
      <c r="O13" s="195">
        <f t="shared" si="5"/>
        <v>268.89999999999998</v>
      </c>
      <c r="P13" s="196"/>
      <c r="Q13" s="215"/>
      <c r="R13" s="212"/>
      <c r="S13" s="198"/>
      <c r="T13" s="199"/>
      <c r="U13" s="124"/>
      <c r="V13" s="124"/>
      <c r="W13" s="135"/>
      <c r="X13" s="182">
        <v>11</v>
      </c>
      <c r="Y13" s="200"/>
      <c r="Z13" s="201"/>
      <c r="AA13" s="182"/>
      <c r="AB13" s="182"/>
      <c r="AC13" s="108"/>
      <c r="AD13" s="108"/>
      <c r="AE13" s="108">
        <f t="shared" si="2"/>
        <v>0</v>
      </c>
      <c r="AF13" s="182"/>
      <c r="AG13" s="216"/>
      <c r="AH13" s="202"/>
      <c r="AI13" s="203"/>
      <c r="AJ13" s="108">
        <f t="shared" si="6"/>
        <v>0</v>
      </c>
      <c r="AK13" s="301"/>
      <c r="AL13" s="124"/>
      <c r="AM13" s="124"/>
      <c r="AN13" s="16"/>
      <c r="AQ13" s="100"/>
      <c r="AR13" s="75"/>
      <c r="AS13" s="59"/>
      <c r="AT13" s="59"/>
      <c r="AU13" s="59"/>
      <c r="AV13" s="75"/>
      <c r="AW13" s="100"/>
    </row>
    <row r="14" spans="1:57" ht="19.5" thickBot="1" x14ac:dyDescent="0.35">
      <c r="A14" s="166">
        <v>44845</v>
      </c>
      <c r="B14" s="190"/>
      <c r="C14" s="179"/>
      <c r="D14" s="179"/>
      <c r="E14" s="175"/>
      <c r="F14" s="170">
        <f t="shared" si="3"/>
        <v>0</v>
      </c>
      <c r="G14" s="171">
        <f t="shared" si="4"/>
        <v>0</v>
      </c>
      <c r="H14" s="179"/>
      <c r="I14" s="191"/>
      <c r="J14" s="175"/>
      <c r="K14" s="192">
        <f t="shared" si="0"/>
        <v>0</v>
      </c>
      <c r="L14" s="193">
        <f t="shared" si="1"/>
        <v>0</v>
      </c>
      <c r="M14" s="174"/>
      <c r="N14" s="194"/>
      <c r="O14" s="195">
        <f t="shared" si="5"/>
        <v>268.89999999999998</v>
      </c>
      <c r="P14" s="196"/>
      <c r="Q14" s="215"/>
      <c r="R14" s="212"/>
      <c r="S14" s="198"/>
      <c r="T14" s="199"/>
      <c r="U14" s="124"/>
      <c r="V14" s="124"/>
      <c r="W14" s="135"/>
      <c r="X14" s="182">
        <v>12</v>
      </c>
      <c r="Y14" s="217"/>
      <c r="Z14" s="201"/>
      <c r="AA14" s="182"/>
      <c r="AB14" s="182"/>
      <c r="AC14" s="210"/>
      <c r="AD14" s="210"/>
      <c r="AE14" s="108">
        <f t="shared" si="2"/>
        <v>0</v>
      </c>
      <c r="AF14" s="182"/>
      <c r="AG14" s="216"/>
      <c r="AH14" s="202"/>
      <c r="AI14" s="203"/>
      <c r="AJ14" s="108">
        <f t="shared" si="6"/>
        <v>0</v>
      </c>
      <c r="AK14" s="301"/>
      <c r="AL14" s="124"/>
      <c r="AM14" s="124"/>
      <c r="AN14" s="16"/>
      <c r="AO14" s="4"/>
      <c r="AQ14" s="100"/>
      <c r="AR14" s="59"/>
      <c r="AS14" s="59"/>
      <c r="AT14" s="59"/>
      <c r="AU14" s="59"/>
      <c r="AV14" s="75"/>
      <c r="AW14" s="100"/>
    </row>
    <row r="15" spans="1:57" ht="19.5" thickBot="1" x14ac:dyDescent="0.35">
      <c r="A15" s="166">
        <v>44846</v>
      </c>
      <c r="B15" s="190"/>
      <c r="C15" s="179"/>
      <c r="D15" s="179"/>
      <c r="E15" s="175"/>
      <c r="F15" s="170">
        <f t="shared" si="3"/>
        <v>0</v>
      </c>
      <c r="G15" s="171">
        <f t="shared" si="4"/>
        <v>0</v>
      </c>
      <c r="H15" s="179"/>
      <c r="I15" s="191"/>
      <c r="J15" s="175"/>
      <c r="K15" s="192">
        <f t="shared" si="0"/>
        <v>0</v>
      </c>
      <c r="L15" s="193">
        <f t="shared" si="1"/>
        <v>0</v>
      </c>
      <c r="M15" s="174"/>
      <c r="N15" s="194"/>
      <c r="O15" s="195">
        <f t="shared" si="5"/>
        <v>268.89999999999998</v>
      </c>
      <c r="P15" s="196"/>
      <c r="Q15" s="218"/>
      <c r="R15" s="179"/>
      <c r="S15" s="180"/>
      <c r="T15" s="199"/>
      <c r="U15" s="124"/>
      <c r="V15" s="124"/>
      <c r="W15" s="135"/>
      <c r="X15" s="182">
        <v>13</v>
      </c>
      <c r="Y15" s="200"/>
      <c r="Z15" s="201"/>
      <c r="AA15" s="182"/>
      <c r="AB15" s="182"/>
      <c r="AC15" s="210"/>
      <c r="AD15" s="210"/>
      <c r="AE15" s="108">
        <f t="shared" si="2"/>
        <v>0</v>
      </c>
      <c r="AF15" s="182"/>
      <c r="AG15" s="182"/>
      <c r="AH15" s="202"/>
      <c r="AI15" s="203"/>
      <c r="AJ15" s="108">
        <f t="shared" si="6"/>
        <v>0</v>
      </c>
      <c r="AK15" s="301"/>
      <c r="AL15" s="124"/>
      <c r="AM15" s="124"/>
      <c r="AN15" s="16"/>
      <c r="AQ15" s="100"/>
      <c r="AR15" s="59"/>
      <c r="AS15" s="59"/>
      <c r="AT15" s="59"/>
      <c r="AU15" s="59"/>
      <c r="AV15" s="75"/>
      <c r="AW15" s="100"/>
    </row>
    <row r="16" spans="1:57" ht="19.5" thickBot="1" x14ac:dyDescent="0.35">
      <c r="A16" s="166">
        <v>44847</v>
      </c>
      <c r="B16" s="190"/>
      <c r="C16" s="179"/>
      <c r="D16" s="179"/>
      <c r="E16" s="175"/>
      <c r="F16" s="170">
        <f t="shared" si="3"/>
        <v>0</v>
      </c>
      <c r="G16" s="171">
        <f t="shared" si="4"/>
        <v>0</v>
      </c>
      <c r="H16" s="179"/>
      <c r="I16" s="191"/>
      <c r="J16" s="175"/>
      <c r="K16" s="192">
        <f t="shared" si="0"/>
        <v>0</v>
      </c>
      <c r="L16" s="193">
        <f t="shared" si="1"/>
        <v>0</v>
      </c>
      <c r="M16" s="209"/>
      <c r="N16" s="194"/>
      <c r="O16" s="195">
        <f t="shared" si="5"/>
        <v>268.89999999999998</v>
      </c>
      <c r="P16" s="196"/>
      <c r="Q16" s="219"/>
      <c r="R16" s="179"/>
      <c r="S16" s="180"/>
      <c r="T16" s="199"/>
      <c r="U16" s="124"/>
      <c r="V16" s="124"/>
      <c r="W16" s="135"/>
      <c r="X16" s="182">
        <v>14</v>
      </c>
      <c r="Y16" s="200"/>
      <c r="Z16" s="201"/>
      <c r="AA16" s="182"/>
      <c r="AB16" s="182"/>
      <c r="AC16" s="210"/>
      <c r="AD16" s="210"/>
      <c r="AE16" s="108">
        <f t="shared" si="2"/>
        <v>0</v>
      </c>
      <c r="AF16" s="182"/>
      <c r="AG16" s="182"/>
      <c r="AH16" s="202"/>
      <c r="AI16" s="203"/>
      <c r="AJ16" s="108">
        <f t="shared" si="6"/>
        <v>0</v>
      </c>
      <c r="AK16" s="301"/>
      <c r="AL16" s="124"/>
      <c r="AM16" s="124"/>
      <c r="AN16" s="16"/>
      <c r="AQ16" s="100"/>
      <c r="AR16" s="59"/>
      <c r="AS16" s="59"/>
      <c r="AT16" s="59"/>
      <c r="AU16" s="59"/>
      <c r="AV16" s="75"/>
      <c r="AW16" s="100"/>
    </row>
    <row r="17" spans="1:54" ht="19.5" thickBot="1" x14ac:dyDescent="0.35">
      <c r="A17" s="166">
        <v>44848</v>
      </c>
      <c r="B17" s="190"/>
      <c r="C17" s="179"/>
      <c r="D17" s="179"/>
      <c r="E17" s="175"/>
      <c r="F17" s="170">
        <f t="shared" si="3"/>
        <v>0</v>
      </c>
      <c r="G17" s="171">
        <f t="shared" si="4"/>
        <v>0</v>
      </c>
      <c r="H17" s="179"/>
      <c r="I17" s="191"/>
      <c r="J17" s="175"/>
      <c r="K17" s="192">
        <f t="shared" si="0"/>
        <v>0</v>
      </c>
      <c r="L17" s="193">
        <f t="shared" si="1"/>
        <v>0</v>
      </c>
      <c r="M17" s="209"/>
      <c r="N17" s="194"/>
      <c r="O17" s="195">
        <f>SUM(L17-M17-N17+O16+P17)</f>
        <v>268.89999999999998</v>
      </c>
      <c r="P17" s="196"/>
      <c r="Q17" s="218"/>
      <c r="R17" s="179"/>
      <c r="S17" s="180"/>
      <c r="T17" s="199"/>
      <c r="U17" s="124"/>
      <c r="V17" s="124"/>
      <c r="W17" s="135"/>
      <c r="X17" s="182">
        <v>15</v>
      </c>
      <c r="Y17" s="200"/>
      <c r="Z17" s="201"/>
      <c r="AA17" s="182"/>
      <c r="AB17" s="182"/>
      <c r="AC17" s="210"/>
      <c r="AD17" s="210"/>
      <c r="AE17" s="108">
        <f t="shared" si="2"/>
        <v>0</v>
      </c>
      <c r="AF17" s="182"/>
      <c r="AG17" s="216"/>
      <c r="AH17" s="202"/>
      <c r="AI17" s="203"/>
      <c r="AJ17" s="108">
        <f t="shared" si="6"/>
        <v>0</v>
      </c>
      <c r="AK17" s="301"/>
      <c r="AL17" s="124"/>
      <c r="AM17" s="124"/>
      <c r="AN17" s="16"/>
      <c r="AQ17" s="100"/>
      <c r="AR17" s="59"/>
      <c r="AS17" s="59"/>
      <c r="AT17" s="59"/>
      <c r="AU17" s="59"/>
      <c r="AV17" s="75"/>
      <c r="AW17" s="100"/>
    </row>
    <row r="18" spans="1:54" ht="19.5" thickBot="1" x14ac:dyDescent="0.35">
      <c r="A18" s="166">
        <v>44849</v>
      </c>
      <c r="B18" s="190"/>
      <c r="C18" s="179"/>
      <c r="D18" s="179"/>
      <c r="E18" s="175"/>
      <c r="F18" s="170">
        <f t="shared" si="3"/>
        <v>0</v>
      </c>
      <c r="G18" s="171">
        <f t="shared" si="4"/>
        <v>0</v>
      </c>
      <c r="H18" s="179"/>
      <c r="I18" s="191"/>
      <c r="J18" s="175"/>
      <c r="K18" s="192">
        <f t="shared" si="0"/>
        <v>0</v>
      </c>
      <c r="L18" s="193">
        <f t="shared" si="1"/>
        <v>0</v>
      </c>
      <c r="M18" s="174"/>
      <c r="N18" s="220"/>
      <c r="O18" s="195">
        <f>SUM(L18-M18-N18+O17+P18)</f>
        <v>268.89999999999998</v>
      </c>
      <c r="P18" s="196"/>
      <c r="Q18" s="218"/>
      <c r="R18" s="179"/>
      <c r="S18" s="180"/>
      <c r="T18" s="199"/>
      <c r="U18" s="124"/>
      <c r="V18" s="124"/>
      <c r="W18" s="135"/>
      <c r="X18" s="182">
        <v>16</v>
      </c>
      <c r="Y18" s="200"/>
      <c r="Z18" s="201"/>
      <c r="AA18" s="182"/>
      <c r="AB18" s="182"/>
      <c r="AC18" s="108"/>
      <c r="AD18" s="108"/>
      <c r="AE18" s="108">
        <f t="shared" si="2"/>
        <v>0</v>
      </c>
      <c r="AF18" s="182"/>
      <c r="AG18" s="182"/>
      <c r="AH18" s="202"/>
      <c r="AI18" s="203"/>
      <c r="AJ18" s="108">
        <f t="shared" si="6"/>
        <v>0</v>
      </c>
      <c r="AK18" s="301"/>
      <c r="AL18" s="124"/>
      <c r="AM18" s="124"/>
      <c r="AN18" s="16"/>
      <c r="AQ18" s="100"/>
      <c r="AR18" s="59"/>
      <c r="AS18" s="59"/>
      <c r="AT18" s="59"/>
      <c r="AU18" s="59"/>
      <c r="AV18" s="59"/>
      <c r="AW18" s="100"/>
    </row>
    <row r="19" spans="1:54" ht="19.5" thickBot="1" x14ac:dyDescent="0.35">
      <c r="A19" s="166">
        <v>44850</v>
      </c>
      <c r="B19" s="190"/>
      <c r="C19" s="179"/>
      <c r="D19" s="179"/>
      <c r="E19" s="175"/>
      <c r="F19" s="170">
        <f t="shared" si="3"/>
        <v>0</v>
      </c>
      <c r="G19" s="171">
        <f t="shared" si="4"/>
        <v>0</v>
      </c>
      <c r="H19" s="179"/>
      <c r="I19" s="191"/>
      <c r="J19" s="175"/>
      <c r="K19" s="192">
        <f t="shared" si="0"/>
        <v>0</v>
      </c>
      <c r="L19" s="193">
        <f t="shared" si="1"/>
        <v>0</v>
      </c>
      <c r="M19" s="174"/>
      <c r="N19" s="194"/>
      <c r="O19" s="195">
        <f>SUM(L19-M19-N19+O18+P19)</f>
        <v>268.89999999999998</v>
      </c>
      <c r="P19" s="196"/>
      <c r="Q19" s="218"/>
      <c r="R19" s="179"/>
      <c r="S19" s="180"/>
      <c r="T19" s="199"/>
      <c r="U19" s="124"/>
      <c r="V19" s="124"/>
      <c r="W19" s="135"/>
      <c r="X19" s="182">
        <v>17</v>
      </c>
      <c r="Y19" s="200"/>
      <c r="Z19" s="201"/>
      <c r="AA19" s="182"/>
      <c r="AB19" s="182"/>
      <c r="AC19" s="210"/>
      <c r="AD19" s="210"/>
      <c r="AE19" s="108">
        <f t="shared" si="2"/>
        <v>0</v>
      </c>
      <c r="AF19" s="208"/>
      <c r="AG19" s="182"/>
      <c r="AH19" s="202"/>
      <c r="AI19" s="203"/>
      <c r="AJ19" s="108">
        <f t="shared" si="6"/>
        <v>0</v>
      </c>
      <c r="AK19" s="301"/>
      <c r="AL19" s="124"/>
      <c r="AM19" s="124"/>
      <c r="AN19" s="16"/>
      <c r="AQ19" s="100"/>
      <c r="AR19" s="59"/>
      <c r="AS19" s="59"/>
      <c r="AT19" s="59"/>
      <c r="AU19" s="59"/>
      <c r="AV19" s="59"/>
      <c r="AW19" s="100"/>
    </row>
    <row r="20" spans="1:54" ht="19.5" thickBot="1" x14ac:dyDescent="0.35">
      <c r="A20" s="166">
        <v>44851</v>
      </c>
      <c r="B20" s="190"/>
      <c r="C20" s="179"/>
      <c r="D20" s="179"/>
      <c r="E20" s="175"/>
      <c r="F20" s="170">
        <f t="shared" si="3"/>
        <v>0</v>
      </c>
      <c r="G20" s="171">
        <f t="shared" si="4"/>
        <v>0</v>
      </c>
      <c r="H20" s="179"/>
      <c r="I20" s="191"/>
      <c r="J20" s="175"/>
      <c r="K20" s="192">
        <f t="shared" si="0"/>
        <v>0</v>
      </c>
      <c r="L20" s="193">
        <f t="shared" si="1"/>
        <v>0</v>
      </c>
      <c r="M20" s="174"/>
      <c r="N20" s="194"/>
      <c r="O20" s="195">
        <f>SUM(L20-M20-N20+O19+P20)</f>
        <v>268.89999999999998</v>
      </c>
      <c r="P20" s="196"/>
      <c r="Q20" s="218"/>
      <c r="R20" s="179"/>
      <c r="S20" s="180"/>
      <c r="T20" s="199"/>
      <c r="U20" s="124"/>
      <c r="V20" s="124"/>
      <c r="W20" s="135"/>
      <c r="X20" s="182">
        <v>18</v>
      </c>
      <c r="Y20" s="200"/>
      <c r="Z20" s="201"/>
      <c r="AA20" s="182"/>
      <c r="AB20" s="182"/>
      <c r="AC20" s="210"/>
      <c r="AD20" s="210"/>
      <c r="AE20" s="108">
        <f t="shared" si="2"/>
        <v>0</v>
      </c>
      <c r="AF20" s="182"/>
      <c r="AG20" s="216"/>
      <c r="AH20" s="202"/>
      <c r="AI20" s="203"/>
      <c r="AJ20" s="108">
        <f t="shared" si="6"/>
        <v>0</v>
      </c>
      <c r="AK20" s="301"/>
      <c r="AL20" s="124"/>
      <c r="AM20" s="124"/>
      <c r="AN20" s="22"/>
      <c r="AQ20" s="100"/>
      <c r="AR20" s="59"/>
      <c r="AS20" s="59"/>
      <c r="AT20" s="59"/>
      <c r="AU20" s="59"/>
      <c r="AV20" s="59"/>
      <c r="AW20" s="100"/>
    </row>
    <row r="21" spans="1:54" ht="19.5" thickBot="1" x14ac:dyDescent="0.35">
      <c r="A21" s="166">
        <v>44852</v>
      </c>
      <c r="B21" s="190"/>
      <c r="C21" s="179"/>
      <c r="D21" s="179"/>
      <c r="E21" s="175"/>
      <c r="F21" s="170">
        <f t="shared" si="3"/>
        <v>0</v>
      </c>
      <c r="G21" s="171">
        <f t="shared" si="4"/>
        <v>0</v>
      </c>
      <c r="H21" s="179"/>
      <c r="I21" s="191"/>
      <c r="J21" s="175"/>
      <c r="K21" s="192">
        <f t="shared" si="0"/>
        <v>0</v>
      </c>
      <c r="L21" s="193">
        <f t="shared" si="1"/>
        <v>0</v>
      </c>
      <c r="M21" s="174"/>
      <c r="N21" s="194"/>
      <c r="O21" s="195">
        <f t="shared" si="5"/>
        <v>268.89999999999998</v>
      </c>
      <c r="P21" s="196"/>
      <c r="Q21" s="218"/>
      <c r="R21" s="179"/>
      <c r="S21" s="180"/>
      <c r="T21" s="199"/>
      <c r="U21" s="124"/>
      <c r="V21" s="124"/>
      <c r="W21" s="135"/>
      <c r="X21" s="182">
        <v>19</v>
      </c>
      <c r="Y21" s="200"/>
      <c r="Z21" s="201"/>
      <c r="AA21" s="182"/>
      <c r="AB21" s="221"/>
      <c r="AC21" s="108"/>
      <c r="AD21" s="108"/>
      <c r="AE21" s="108">
        <f t="shared" si="2"/>
        <v>0</v>
      </c>
      <c r="AF21" s="182"/>
      <c r="AG21" s="182"/>
      <c r="AH21" s="202"/>
      <c r="AI21" s="203"/>
      <c r="AJ21" s="108">
        <f t="shared" si="6"/>
        <v>0</v>
      </c>
      <c r="AK21" s="301"/>
      <c r="AL21" s="124"/>
      <c r="AM21" s="124"/>
      <c r="AN21" s="22"/>
      <c r="AQ21" s="100"/>
      <c r="AR21" s="59"/>
      <c r="AS21" s="59"/>
      <c r="AT21" s="59"/>
      <c r="AU21" s="59"/>
      <c r="AV21" s="59"/>
      <c r="AW21" s="100"/>
    </row>
    <row r="22" spans="1:54" ht="19.5" thickBot="1" x14ac:dyDescent="0.35">
      <c r="A22" s="166">
        <v>44853</v>
      </c>
      <c r="B22" s="190"/>
      <c r="C22" s="179"/>
      <c r="D22" s="179"/>
      <c r="E22" s="175"/>
      <c r="F22" s="170">
        <f t="shared" si="3"/>
        <v>0</v>
      </c>
      <c r="G22" s="171">
        <f t="shared" si="4"/>
        <v>0</v>
      </c>
      <c r="H22" s="179"/>
      <c r="I22" s="191"/>
      <c r="J22" s="175"/>
      <c r="K22" s="192">
        <f t="shared" si="0"/>
        <v>0</v>
      </c>
      <c r="L22" s="193">
        <f t="shared" si="1"/>
        <v>0</v>
      </c>
      <c r="M22" s="174"/>
      <c r="N22" s="194"/>
      <c r="O22" s="195">
        <f t="shared" si="5"/>
        <v>268.89999999999998</v>
      </c>
      <c r="P22" s="196"/>
      <c r="Q22" s="218"/>
      <c r="R22" s="179"/>
      <c r="S22" s="180"/>
      <c r="T22" s="199"/>
      <c r="U22" s="124"/>
      <c r="V22" s="124"/>
      <c r="W22" s="135"/>
      <c r="X22" s="182">
        <v>20</v>
      </c>
      <c r="Y22" s="200"/>
      <c r="Z22" s="201"/>
      <c r="AA22" s="182"/>
      <c r="AB22" s="221"/>
      <c r="AC22" s="210"/>
      <c r="AD22" s="210"/>
      <c r="AE22" s="108">
        <f t="shared" si="2"/>
        <v>0</v>
      </c>
      <c r="AF22" s="182"/>
      <c r="AG22" s="182"/>
      <c r="AH22" s="202"/>
      <c r="AI22" s="203"/>
      <c r="AJ22" s="108">
        <f t="shared" si="6"/>
        <v>0</v>
      </c>
      <c r="AK22" s="301"/>
      <c r="AL22" s="124"/>
      <c r="AM22" s="124"/>
      <c r="AN22" s="16"/>
      <c r="AQ22" s="100"/>
      <c r="AR22" s="59"/>
      <c r="AS22" s="71"/>
      <c r="AT22" s="71"/>
      <c r="AU22" s="71"/>
      <c r="AV22" s="59"/>
      <c r="AW22" s="100"/>
    </row>
    <row r="23" spans="1:54" ht="19.5" thickBot="1" x14ac:dyDescent="0.35">
      <c r="A23" s="166">
        <v>44854</v>
      </c>
      <c r="B23" s="190"/>
      <c r="C23" s="179"/>
      <c r="D23" s="179"/>
      <c r="E23" s="175"/>
      <c r="F23" s="170">
        <f t="shared" si="3"/>
        <v>0</v>
      </c>
      <c r="G23" s="171">
        <f t="shared" si="4"/>
        <v>0</v>
      </c>
      <c r="H23" s="179"/>
      <c r="I23" s="191"/>
      <c r="J23" s="175"/>
      <c r="K23" s="192">
        <f t="shared" si="0"/>
        <v>0</v>
      </c>
      <c r="L23" s="193">
        <f t="shared" si="1"/>
        <v>0</v>
      </c>
      <c r="M23" s="174"/>
      <c r="N23" s="194"/>
      <c r="O23" s="195">
        <f t="shared" si="5"/>
        <v>268.89999999999998</v>
      </c>
      <c r="P23" s="196"/>
      <c r="Q23" s="211"/>
      <c r="R23" s="212"/>
      <c r="S23" s="180"/>
      <c r="T23" s="222"/>
      <c r="U23" s="124"/>
      <c r="V23" s="124"/>
      <c r="W23" s="135"/>
      <c r="X23" s="182">
        <v>21</v>
      </c>
      <c r="Y23" s="223"/>
      <c r="Z23" s="224"/>
      <c r="AA23" s="208"/>
      <c r="AB23" s="225"/>
      <c r="AC23" s="108"/>
      <c r="AD23" s="108"/>
      <c r="AE23" s="108">
        <f t="shared" si="2"/>
        <v>0</v>
      </c>
      <c r="AF23" s="208"/>
      <c r="AG23" s="226"/>
      <c r="AH23" s="202"/>
      <c r="AI23" s="203"/>
      <c r="AJ23" s="108">
        <f t="shared" si="6"/>
        <v>0</v>
      </c>
      <c r="AK23" s="301"/>
      <c r="AL23" s="124"/>
      <c r="AM23" s="124"/>
      <c r="AN23" s="16"/>
      <c r="AQ23" s="100"/>
      <c r="AR23" s="100"/>
      <c r="AS23" s="100"/>
      <c r="AT23" s="100"/>
      <c r="AU23" s="100"/>
      <c r="AV23" s="100"/>
      <c r="AW23" s="100"/>
    </row>
    <row r="24" spans="1:54" ht="19.5" thickBot="1" x14ac:dyDescent="0.35">
      <c r="A24" s="166">
        <v>44855</v>
      </c>
      <c r="B24" s="190"/>
      <c r="C24" s="179"/>
      <c r="D24" s="179"/>
      <c r="E24" s="175"/>
      <c r="F24" s="170">
        <f t="shared" si="3"/>
        <v>0</v>
      </c>
      <c r="G24" s="171">
        <f t="shared" si="4"/>
        <v>0</v>
      </c>
      <c r="H24" s="179"/>
      <c r="I24" s="191"/>
      <c r="J24" s="175"/>
      <c r="K24" s="192">
        <f t="shared" si="0"/>
        <v>0</v>
      </c>
      <c r="L24" s="193">
        <f t="shared" si="1"/>
        <v>0</v>
      </c>
      <c r="M24" s="209"/>
      <c r="N24" s="194"/>
      <c r="O24" s="195">
        <f>SUM(L24-M24-N24+O23+P24)</f>
        <v>268.89999999999998</v>
      </c>
      <c r="P24" s="196"/>
      <c r="Q24" s="211"/>
      <c r="R24" s="212"/>
      <c r="S24" s="180"/>
      <c r="T24" s="222"/>
      <c r="U24" s="124"/>
      <c r="V24" s="124"/>
      <c r="W24" s="135"/>
      <c r="X24" s="182">
        <v>22</v>
      </c>
      <c r="Y24" s="200"/>
      <c r="Z24" s="201"/>
      <c r="AA24" s="182"/>
      <c r="AB24" s="227"/>
      <c r="AC24" s="210"/>
      <c r="AD24" s="210"/>
      <c r="AE24" s="108">
        <f t="shared" si="2"/>
        <v>0</v>
      </c>
      <c r="AF24" s="182"/>
      <c r="AG24" s="226"/>
      <c r="AH24" s="202"/>
      <c r="AI24" s="203"/>
      <c r="AJ24" s="108">
        <f t="shared" si="6"/>
        <v>0</v>
      </c>
      <c r="AK24" s="301"/>
      <c r="AL24" s="124"/>
      <c r="AM24" s="124"/>
      <c r="AN24" s="16"/>
    </row>
    <row r="25" spans="1:54" ht="19.5" thickBot="1" x14ac:dyDescent="0.35">
      <c r="A25" s="166">
        <v>44856</v>
      </c>
      <c r="B25" s="190"/>
      <c r="C25" s="179"/>
      <c r="D25" s="179"/>
      <c r="E25" s="175"/>
      <c r="F25" s="170">
        <f t="shared" si="3"/>
        <v>0</v>
      </c>
      <c r="G25" s="171">
        <f t="shared" si="4"/>
        <v>0</v>
      </c>
      <c r="H25" s="179"/>
      <c r="I25" s="191"/>
      <c r="J25" s="175"/>
      <c r="K25" s="192">
        <f t="shared" si="0"/>
        <v>0</v>
      </c>
      <c r="L25" s="193">
        <f t="shared" si="1"/>
        <v>0</v>
      </c>
      <c r="M25" s="174"/>
      <c r="N25" s="194"/>
      <c r="O25" s="195">
        <f t="shared" si="5"/>
        <v>268.89999999999998</v>
      </c>
      <c r="P25" s="196"/>
      <c r="Q25" s="178"/>
      <c r="R25" s="179"/>
      <c r="S25" s="180"/>
      <c r="T25" s="181"/>
      <c r="U25" s="124"/>
      <c r="V25" s="124"/>
      <c r="W25" s="135"/>
      <c r="X25" s="182">
        <v>26</v>
      </c>
      <c r="Y25" s="223"/>
      <c r="Z25" s="224"/>
      <c r="AA25" s="208"/>
      <c r="AB25" s="228"/>
      <c r="AC25" s="210"/>
      <c r="AD25" s="210"/>
      <c r="AE25" s="108">
        <f t="shared" si="2"/>
        <v>0</v>
      </c>
      <c r="AF25" s="208"/>
      <c r="AG25" s="226"/>
      <c r="AH25" s="202"/>
      <c r="AI25" s="203"/>
      <c r="AJ25" s="108">
        <f t="shared" si="6"/>
        <v>0</v>
      </c>
      <c r="AK25" s="301"/>
      <c r="AL25" s="124"/>
      <c r="AM25" s="124"/>
      <c r="AN25" s="16"/>
      <c r="AW25" s="2"/>
    </row>
    <row r="26" spans="1:54" ht="19.5" thickBot="1" x14ac:dyDescent="0.35">
      <c r="A26" s="166">
        <v>44857</v>
      </c>
      <c r="B26" s="190"/>
      <c r="C26" s="179"/>
      <c r="D26" s="179"/>
      <c r="E26" s="175"/>
      <c r="F26" s="170">
        <f t="shared" si="3"/>
        <v>0</v>
      </c>
      <c r="G26" s="171">
        <f t="shared" si="4"/>
        <v>0</v>
      </c>
      <c r="H26" s="179"/>
      <c r="I26" s="191"/>
      <c r="J26" s="175"/>
      <c r="K26" s="192">
        <f t="shared" si="0"/>
        <v>0</v>
      </c>
      <c r="L26" s="193">
        <f t="shared" si="1"/>
        <v>0</v>
      </c>
      <c r="M26" s="174"/>
      <c r="N26" s="194"/>
      <c r="O26" s="195">
        <f t="shared" si="5"/>
        <v>268.89999999999998</v>
      </c>
      <c r="P26" s="196"/>
      <c r="Q26" s="178"/>
      <c r="R26" s="179"/>
      <c r="S26" s="180"/>
      <c r="T26" s="222"/>
      <c r="U26" s="124"/>
      <c r="V26" s="124"/>
      <c r="W26" s="135"/>
      <c r="X26" s="182">
        <v>27</v>
      </c>
      <c r="Y26" s="223"/>
      <c r="Z26" s="224"/>
      <c r="AA26" s="208"/>
      <c r="AB26" s="228"/>
      <c r="AC26" s="210"/>
      <c r="AD26" s="210"/>
      <c r="AE26" s="108">
        <f t="shared" si="2"/>
        <v>0</v>
      </c>
      <c r="AF26" s="208"/>
      <c r="AG26" s="226"/>
      <c r="AH26" s="202"/>
      <c r="AI26" s="203"/>
      <c r="AJ26" s="108">
        <f t="shared" si="6"/>
        <v>0</v>
      </c>
      <c r="AK26" s="301"/>
      <c r="AL26" s="124"/>
      <c r="AM26" s="124"/>
      <c r="AN26" s="16"/>
      <c r="AW26" s="2"/>
      <c r="AY26" s="2"/>
    </row>
    <row r="27" spans="1:54" ht="19.5" thickBot="1" x14ac:dyDescent="0.35">
      <c r="A27" s="166">
        <v>44858</v>
      </c>
      <c r="B27" s="190"/>
      <c r="C27" s="179"/>
      <c r="D27" s="179"/>
      <c r="E27" s="175"/>
      <c r="F27" s="170">
        <f t="shared" si="3"/>
        <v>0</v>
      </c>
      <c r="G27" s="171">
        <f t="shared" si="4"/>
        <v>0</v>
      </c>
      <c r="H27" s="179"/>
      <c r="I27" s="191"/>
      <c r="J27" s="175"/>
      <c r="K27" s="192">
        <f t="shared" si="0"/>
        <v>0</v>
      </c>
      <c r="L27" s="193">
        <f t="shared" si="1"/>
        <v>0</v>
      </c>
      <c r="M27" s="209"/>
      <c r="N27" s="194"/>
      <c r="O27" s="195">
        <f t="shared" si="5"/>
        <v>268.89999999999998</v>
      </c>
      <c r="P27" s="196"/>
      <c r="Q27" s="178"/>
      <c r="R27" s="179"/>
      <c r="S27" s="180"/>
      <c r="T27" s="222"/>
      <c r="U27" s="124"/>
      <c r="V27" s="124"/>
      <c r="W27" s="135"/>
      <c r="X27" s="182">
        <v>28</v>
      </c>
      <c r="Y27" s="200"/>
      <c r="Z27" s="201"/>
      <c r="AA27" s="182"/>
      <c r="AB27" s="182"/>
      <c r="AC27" s="210"/>
      <c r="AD27" s="210"/>
      <c r="AE27" s="108">
        <f t="shared" si="2"/>
        <v>0</v>
      </c>
      <c r="AF27" s="182"/>
      <c r="AG27" s="182"/>
      <c r="AH27" s="202"/>
      <c r="AI27" s="203"/>
      <c r="AJ27" s="108">
        <f t="shared" si="6"/>
        <v>0</v>
      </c>
      <c r="AK27" s="301"/>
      <c r="AL27" s="124"/>
      <c r="AM27" s="124"/>
      <c r="AN27" s="16"/>
      <c r="AR27" s="2"/>
      <c r="AS27" s="2"/>
      <c r="AT27" s="2"/>
      <c r="AU27" s="2"/>
      <c r="AV27" s="2"/>
      <c r="AW27" s="2"/>
      <c r="AY27" s="2"/>
      <c r="AZ27" s="2"/>
      <c r="BA27" s="2"/>
      <c r="BB27" s="2"/>
    </row>
    <row r="28" spans="1:54" ht="19.5" thickBot="1" x14ac:dyDescent="0.35">
      <c r="A28" s="166">
        <v>44859</v>
      </c>
      <c r="B28" s="190"/>
      <c r="C28" s="179"/>
      <c r="D28" s="179"/>
      <c r="E28" s="175"/>
      <c r="F28" s="170">
        <f t="shared" si="3"/>
        <v>0</v>
      </c>
      <c r="G28" s="171">
        <f t="shared" si="4"/>
        <v>0</v>
      </c>
      <c r="H28" s="179"/>
      <c r="I28" s="191"/>
      <c r="J28" s="175"/>
      <c r="K28" s="192">
        <f t="shared" si="0"/>
        <v>0</v>
      </c>
      <c r="L28" s="193">
        <f t="shared" si="1"/>
        <v>0</v>
      </c>
      <c r="M28" s="174"/>
      <c r="N28" s="194"/>
      <c r="O28" s="195">
        <f>SUM(L28-M28-N28+O27+P28)</f>
        <v>268.89999999999998</v>
      </c>
      <c r="P28" s="196"/>
      <c r="Q28" s="178"/>
      <c r="R28" s="179"/>
      <c r="S28" s="180"/>
      <c r="T28" s="222"/>
      <c r="U28" s="124"/>
      <c r="V28" s="124"/>
      <c r="W28" s="135"/>
      <c r="X28" s="182">
        <v>29</v>
      </c>
      <c r="Y28" s="200"/>
      <c r="Z28" s="201"/>
      <c r="AA28" s="182"/>
      <c r="AB28" s="182"/>
      <c r="AC28" s="210"/>
      <c r="AD28" s="210"/>
      <c r="AE28" s="108">
        <f t="shared" si="2"/>
        <v>0</v>
      </c>
      <c r="AF28" s="182"/>
      <c r="AG28" s="182"/>
      <c r="AH28" s="202"/>
      <c r="AI28" s="203"/>
      <c r="AJ28" s="108">
        <f t="shared" si="6"/>
        <v>0</v>
      </c>
      <c r="AK28" s="163"/>
      <c r="AL28" s="124"/>
      <c r="AM28" s="124"/>
      <c r="AN28" s="16"/>
      <c r="AR28" s="92"/>
      <c r="AS28" s="11"/>
      <c r="AT28" s="11"/>
      <c r="AU28" s="11"/>
      <c r="AV28" s="2"/>
      <c r="AW28" s="2"/>
      <c r="AY28" s="2"/>
      <c r="AZ28" s="2"/>
      <c r="BA28" s="12"/>
      <c r="BB28" s="2"/>
    </row>
    <row r="29" spans="1:54" ht="19.5" thickBot="1" x14ac:dyDescent="0.35">
      <c r="A29" s="166">
        <v>44860</v>
      </c>
      <c r="B29" s="190"/>
      <c r="C29" s="179"/>
      <c r="D29" s="179"/>
      <c r="E29" s="175"/>
      <c r="F29" s="170">
        <f t="shared" si="3"/>
        <v>0</v>
      </c>
      <c r="G29" s="171">
        <f t="shared" si="4"/>
        <v>0</v>
      </c>
      <c r="H29" s="179"/>
      <c r="I29" s="191"/>
      <c r="J29" s="175"/>
      <c r="K29" s="192">
        <f t="shared" si="0"/>
        <v>0</v>
      </c>
      <c r="L29" s="193">
        <f t="shared" si="1"/>
        <v>0</v>
      </c>
      <c r="M29" s="174"/>
      <c r="N29" s="194"/>
      <c r="O29" s="195">
        <f t="shared" si="5"/>
        <v>268.89999999999998</v>
      </c>
      <c r="P29" s="135"/>
      <c r="Q29" s="178"/>
      <c r="R29" s="179"/>
      <c r="S29" s="180"/>
      <c r="T29" s="222"/>
      <c r="U29" s="124"/>
      <c r="V29" s="124"/>
      <c r="W29" s="135"/>
      <c r="X29" s="182">
        <v>30</v>
      </c>
      <c r="Y29" s="200"/>
      <c r="Z29" s="201"/>
      <c r="AA29" s="182"/>
      <c r="AB29" s="182"/>
      <c r="AC29" s="108"/>
      <c r="AD29" s="108"/>
      <c r="AE29" s="108">
        <f t="shared" si="2"/>
        <v>0</v>
      </c>
      <c r="AF29" s="182"/>
      <c r="AG29" s="182"/>
      <c r="AH29" s="202"/>
      <c r="AI29" s="203"/>
      <c r="AJ29" s="108">
        <f t="shared" si="6"/>
        <v>0</v>
      </c>
      <c r="AK29" s="163"/>
      <c r="AL29" s="124"/>
      <c r="AM29" s="124"/>
      <c r="AN29" s="22"/>
      <c r="AR29" s="92"/>
      <c r="AS29" s="11"/>
      <c r="AT29" s="11"/>
      <c r="AU29" s="11"/>
      <c r="AV29" s="2"/>
      <c r="AW29" s="2"/>
      <c r="AY29" s="12"/>
      <c r="AZ29" s="2"/>
      <c r="BA29" s="12"/>
      <c r="BB29" s="2"/>
    </row>
    <row r="30" spans="1:54" ht="19.5" thickBot="1" x14ac:dyDescent="0.35">
      <c r="A30" s="166">
        <v>44861</v>
      </c>
      <c r="B30" s="229"/>
      <c r="C30" s="179"/>
      <c r="D30" s="179"/>
      <c r="E30" s="175"/>
      <c r="F30" s="170">
        <f t="shared" si="3"/>
        <v>0</v>
      </c>
      <c r="G30" s="171">
        <f t="shared" si="4"/>
        <v>0</v>
      </c>
      <c r="H30" s="179"/>
      <c r="I30" s="191"/>
      <c r="J30" s="175"/>
      <c r="K30" s="192">
        <f t="shared" si="0"/>
        <v>0</v>
      </c>
      <c r="L30" s="193">
        <f t="shared" si="1"/>
        <v>0</v>
      </c>
      <c r="M30" s="209"/>
      <c r="N30" s="194"/>
      <c r="O30" s="195">
        <f>SUM(L30-M30-N30+O29+P30)</f>
        <v>268.89999999999998</v>
      </c>
      <c r="P30" s="135"/>
      <c r="Q30" s="178"/>
      <c r="R30" s="179"/>
      <c r="S30" s="230"/>
      <c r="T30" s="222"/>
      <c r="U30" s="124"/>
      <c r="V30" s="124"/>
      <c r="W30" s="135"/>
      <c r="X30" s="24"/>
      <c r="Y30" s="160"/>
      <c r="Z30" s="161"/>
      <c r="AA30" s="24"/>
      <c r="AB30" s="24"/>
      <c r="AC30" s="231" t="s">
        <v>16</v>
      </c>
      <c r="AD30" s="231">
        <f>SUM(AD3:AD29)</f>
        <v>0</v>
      </c>
      <c r="AE30" s="163"/>
      <c r="AF30" s="232"/>
      <c r="AG30" s="24"/>
      <c r="AH30" s="233"/>
      <c r="AI30" s="165"/>
      <c r="AJ30" s="163"/>
      <c r="AK30" s="163"/>
      <c r="AL30" s="124"/>
      <c r="AM30" s="124"/>
      <c r="AN30" s="22"/>
      <c r="AR30" s="92"/>
      <c r="AS30" s="11"/>
      <c r="AT30" s="11"/>
      <c r="AU30" s="11"/>
      <c r="AV30" s="2"/>
      <c r="AW30" s="2"/>
      <c r="AY30" s="12"/>
      <c r="AZ30" s="2"/>
      <c r="BA30" s="12"/>
      <c r="BB30" s="2"/>
    </row>
    <row r="31" spans="1:54" ht="19.5" thickBot="1" x14ac:dyDescent="0.35">
      <c r="A31" s="166">
        <v>44862</v>
      </c>
      <c r="B31" s="234"/>
      <c r="C31" s="235"/>
      <c r="D31" s="236"/>
      <c r="E31" s="175"/>
      <c r="F31" s="170">
        <f t="shared" si="3"/>
        <v>0</v>
      </c>
      <c r="G31" s="171">
        <f t="shared" si="4"/>
        <v>0</v>
      </c>
      <c r="H31" s="179"/>
      <c r="I31" s="191"/>
      <c r="J31" s="237"/>
      <c r="K31" s="192">
        <f t="shared" si="0"/>
        <v>0</v>
      </c>
      <c r="L31" s="193">
        <f t="shared" si="1"/>
        <v>0</v>
      </c>
      <c r="M31" s="174"/>
      <c r="N31" s="194"/>
      <c r="O31" s="238">
        <f t="shared" si="5"/>
        <v>268.89999999999998</v>
      </c>
      <c r="P31" s="239" t="s">
        <v>9</v>
      </c>
      <c r="Q31" s="178"/>
      <c r="R31" s="179"/>
      <c r="S31" s="230"/>
      <c r="T31" s="222"/>
      <c r="U31" s="124"/>
      <c r="V31" s="124"/>
      <c r="W31" s="135"/>
      <c r="X31" s="24"/>
      <c r="Y31" s="160"/>
      <c r="Z31" s="161"/>
      <c r="AA31" s="24"/>
      <c r="AB31" s="24"/>
      <c r="AC31" s="163"/>
      <c r="AD31" s="163"/>
      <c r="AE31" s="163"/>
      <c r="AF31" s="24"/>
      <c r="AG31" s="24"/>
      <c r="AH31" s="233"/>
      <c r="AI31" s="165"/>
      <c r="AJ31" s="163"/>
      <c r="AK31" s="301"/>
      <c r="AL31" s="124"/>
      <c r="AM31" s="124"/>
      <c r="AN31" s="22"/>
      <c r="AR31" s="92"/>
      <c r="AS31" s="11"/>
      <c r="AT31" s="11"/>
      <c r="AU31" s="11"/>
      <c r="AV31" s="2"/>
      <c r="AW31" s="2"/>
      <c r="AY31" s="2"/>
      <c r="AZ31" s="2"/>
      <c r="BA31" s="12"/>
      <c r="BB31" s="2"/>
    </row>
    <row r="32" spans="1:54" ht="19.5" thickBot="1" x14ac:dyDescent="0.35">
      <c r="A32" s="166">
        <v>44863</v>
      </c>
      <c r="B32" s="190"/>
      <c r="C32" s="179"/>
      <c r="D32" s="179"/>
      <c r="E32" s="175"/>
      <c r="F32" s="170">
        <f t="shared" si="3"/>
        <v>0</v>
      </c>
      <c r="G32" s="171">
        <f t="shared" si="4"/>
        <v>0</v>
      </c>
      <c r="H32" s="179"/>
      <c r="I32" s="191"/>
      <c r="J32" s="175"/>
      <c r="K32" s="192">
        <f t="shared" si="0"/>
        <v>0</v>
      </c>
      <c r="L32" s="193">
        <f t="shared" si="1"/>
        <v>0</v>
      </c>
      <c r="M32" s="240"/>
      <c r="N32" s="194"/>
      <c r="O32" s="238">
        <f t="shared" si="5"/>
        <v>268.89999999999998</v>
      </c>
      <c r="P32" s="241" t="s">
        <v>10</v>
      </c>
      <c r="Q32" s="242"/>
      <c r="R32" s="179"/>
      <c r="S32" s="230"/>
      <c r="T32" s="222"/>
      <c r="U32" s="124"/>
      <c r="V32" s="124"/>
      <c r="W32" s="135"/>
      <c r="X32" s="24"/>
      <c r="Y32" s="160"/>
      <c r="Z32" s="161"/>
      <c r="AA32" s="182" t="s">
        <v>17</v>
      </c>
      <c r="AB32" s="24"/>
      <c r="AC32" s="244"/>
      <c r="AD32" s="244"/>
      <c r="AE32" s="163"/>
      <c r="AF32" s="24"/>
      <c r="AG32" s="24"/>
      <c r="AH32" s="233"/>
      <c r="AI32" s="165"/>
      <c r="AJ32" s="163"/>
      <c r="AK32" s="163"/>
      <c r="AL32" s="303" t="s">
        <v>31</v>
      </c>
      <c r="AM32" s="304"/>
      <c r="AN32" s="36"/>
      <c r="AR32" s="2"/>
      <c r="AS32" s="11"/>
      <c r="AT32" s="11"/>
      <c r="AU32" s="11"/>
      <c r="AV32" s="2"/>
      <c r="AW32" s="2"/>
      <c r="AY32" s="2"/>
      <c r="AZ32" s="2"/>
      <c r="BA32" s="2"/>
      <c r="BB32" s="2"/>
    </row>
    <row r="33" spans="1:54" ht="19.5" thickBot="1" x14ac:dyDescent="0.35">
      <c r="A33" s="166">
        <v>44864</v>
      </c>
      <c r="B33" s="245"/>
      <c r="C33" s="246"/>
      <c r="D33" s="246"/>
      <c r="E33" s="247"/>
      <c r="F33" s="170">
        <f t="shared" si="3"/>
        <v>0</v>
      </c>
      <c r="G33" s="171">
        <f t="shared" si="4"/>
        <v>0</v>
      </c>
      <c r="H33" s="248"/>
      <c r="I33" s="248"/>
      <c r="J33" s="247"/>
      <c r="K33" s="249">
        <f t="shared" si="0"/>
        <v>0</v>
      </c>
      <c r="L33" s="250">
        <f t="shared" si="1"/>
        <v>0</v>
      </c>
      <c r="M33" s="251"/>
      <c r="N33" s="252"/>
      <c r="O33" s="253">
        <f t="shared" si="5"/>
        <v>268.89999999999998</v>
      </c>
      <c r="P33" s="254">
        <f>SUM(O33)</f>
        <v>268.89999999999998</v>
      </c>
      <c r="Q33" s="255"/>
      <c r="R33" s="246"/>
      <c r="S33" s="256"/>
      <c r="T33" s="257"/>
      <c r="U33" s="124"/>
      <c r="V33" s="124"/>
      <c r="W33" s="135"/>
      <c r="X33" s="182">
        <v>1</v>
      </c>
      <c r="Y33" s="200"/>
      <c r="Z33" s="201"/>
      <c r="AA33" s="182"/>
      <c r="AB33" s="182"/>
      <c r="AC33" s="258"/>
      <c r="AD33" s="210"/>
      <c r="AE33" s="108">
        <f t="shared" ref="AE33:AE62" si="7">SUM(AC33:AD33)</f>
        <v>0</v>
      </c>
      <c r="AF33" s="182"/>
      <c r="AG33" s="182"/>
      <c r="AH33" s="202"/>
      <c r="AI33" s="203"/>
      <c r="AJ33" s="108">
        <v>0</v>
      </c>
      <c r="AK33" s="163"/>
      <c r="AL33" s="258">
        <f t="shared" ref="AL33:AL63" si="8">AC33</f>
        <v>0</v>
      </c>
      <c r="AM33" s="305">
        <v>1</v>
      </c>
      <c r="AN33" s="16"/>
      <c r="AR33" s="92"/>
      <c r="AS33" s="11"/>
      <c r="AT33" s="11"/>
      <c r="AU33" s="11"/>
      <c r="AV33" s="2"/>
      <c r="AW33" s="2"/>
      <c r="AY33" s="2"/>
      <c r="AZ33" s="2"/>
      <c r="BA33" s="2"/>
      <c r="BB33" s="2"/>
    </row>
    <row r="34" spans="1:54" ht="19.5" thickBot="1" x14ac:dyDescent="0.35">
      <c r="A34" s="124"/>
      <c r="B34" s="259">
        <f>SUM(B5:B33)</f>
        <v>0</v>
      </c>
      <c r="C34" s="260">
        <f t="shared" ref="C34:N34" si="9">SUM(C3:C33)</f>
        <v>0</v>
      </c>
      <c r="D34" s="261">
        <f t="shared" si="9"/>
        <v>0</v>
      </c>
      <c r="E34" s="261">
        <f t="shared" si="9"/>
        <v>0</v>
      </c>
      <c r="F34" s="262">
        <f t="shared" si="9"/>
        <v>0</v>
      </c>
      <c r="G34" s="263"/>
      <c r="H34" s="263">
        <f>SUM(H3:H33)</f>
        <v>0</v>
      </c>
      <c r="I34" s="263"/>
      <c r="J34" s="263">
        <f t="shared" si="9"/>
        <v>0</v>
      </c>
      <c r="K34" s="264">
        <f t="shared" si="9"/>
        <v>0</v>
      </c>
      <c r="L34" s="265">
        <f t="shared" si="9"/>
        <v>0</v>
      </c>
      <c r="M34" s="266">
        <f t="shared" si="9"/>
        <v>0</v>
      </c>
      <c r="N34" s="267">
        <f t="shared" si="9"/>
        <v>0</v>
      </c>
      <c r="O34" s="135"/>
      <c r="P34" s="135"/>
      <c r="Q34" s="124"/>
      <c r="R34" s="135"/>
      <c r="S34" s="124"/>
      <c r="T34" s="124"/>
      <c r="U34" s="124"/>
      <c r="V34" s="124"/>
      <c r="W34" s="135"/>
      <c r="X34" s="182">
        <v>2</v>
      </c>
      <c r="Y34" s="217"/>
      <c r="Z34" s="201"/>
      <c r="AA34" s="182"/>
      <c r="AB34" s="182"/>
      <c r="AC34" s="258"/>
      <c r="AD34" s="210"/>
      <c r="AE34" s="108">
        <f t="shared" si="7"/>
        <v>0</v>
      </c>
      <c r="AF34" s="182"/>
      <c r="AG34" s="216"/>
      <c r="AH34" s="202"/>
      <c r="AI34" s="203"/>
      <c r="AJ34" s="108">
        <f>AE34</f>
        <v>0</v>
      </c>
      <c r="AK34" s="163"/>
      <c r="AL34" s="258">
        <f t="shared" si="8"/>
        <v>0</v>
      </c>
      <c r="AM34" s="221">
        <v>2</v>
      </c>
      <c r="AN34" s="16"/>
      <c r="AR34" s="2"/>
      <c r="AS34" s="11"/>
      <c r="AT34" s="11"/>
      <c r="AU34" s="11"/>
      <c r="AV34" s="2"/>
      <c r="AW34" s="2"/>
      <c r="AY34" s="2"/>
      <c r="AZ34" s="2"/>
      <c r="BA34" s="2"/>
      <c r="BB34" s="2"/>
    </row>
    <row r="35" spans="1:54" ht="19.5" thickBot="1" x14ac:dyDescent="0.35">
      <c r="A35" s="269" t="s">
        <v>15</v>
      </c>
      <c r="B35" s="270">
        <f>SUM(B3:B33)</f>
        <v>0</v>
      </c>
      <c r="C35" s="270">
        <f>SUM(C34/1.06)</f>
        <v>0</v>
      </c>
      <c r="D35" s="270">
        <f>SUM(D34/1.12)</f>
        <v>0</v>
      </c>
      <c r="E35" s="270">
        <f>SUM(E34/1.21)</f>
        <v>0</v>
      </c>
      <c r="F35" s="270">
        <f>SUM(B35:E35)</f>
        <v>0</v>
      </c>
      <c r="G35" s="271">
        <f>SUM(G34:G34)</f>
        <v>0</v>
      </c>
      <c r="H35" s="135"/>
      <c r="I35" s="135"/>
      <c r="J35" s="179"/>
      <c r="K35" s="272"/>
      <c r="L35" s="273" t="s">
        <v>82</v>
      </c>
      <c r="M35" s="274"/>
      <c r="N35" s="275">
        <f>SUM(M34:N34)</f>
        <v>0</v>
      </c>
      <c r="O35" s="135"/>
      <c r="P35" s="135"/>
      <c r="Q35" s="124"/>
      <c r="R35" s="135"/>
      <c r="S35" s="124"/>
      <c r="T35" s="124"/>
      <c r="U35" s="124"/>
      <c r="V35" s="124"/>
      <c r="W35" s="135"/>
      <c r="X35" s="182">
        <v>3</v>
      </c>
      <c r="Y35" s="200"/>
      <c r="Z35" s="201"/>
      <c r="AA35" s="182"/>
      <c r="AB35" s="182"/>
      <c r="AC35" s="258"/>
      <c r="AD35" s="210"/>
      <c r="AE35" s="108">
        <f t="shared" si="7"/>
        <v>0</v>
      </c>
      <c r="AF35" s="182"/>
      <c r="AG35" s="182"/>
      <c r="AH35" s="202"/>
      <c r="AI35" s="203"/>
      <c r="AJ35" s="108">
        <f>AE35</f>
        <v>0</v>
      </c>
      <c r="AK35" s="163"/>
      <c r="AL35" s="258">
        <f t="shared" si="8"/>
        <v>0</v>
      </c>
      <c r="AM35" s="221">
        <v>3</v>
      </c>
      <c r="AN35" s="16"/>
      <c r="AR35" s="2"/>
      <c r="AS35" s="11"/>
      <c r="AT35" s="11"/>
      <c r="AU35" s="11"/>
      <c r="AV35" s="12"/>
      <c r="AW35" s="2"/>
      <c r="AY35" s="2"/>
      <c r="AZ35" s="2"/>
      <c r="BA35" s="2"/>
      <c r="BB35" s="2"/>
    </row>
    <row r="36" spans="1:54" ht="18.75" x14ac:dyDescent="0.3">
      <c r="A36" s="269" t="s">
        <v>16</v>
      </c>
      <c r="B36" s="276"/>
      <c r="C36" s="270">
        <f>SUM(C34-C35)</f>
        <v>0</v>
      </c>
      <c r="D36" s="270">
        <f>SUM(D34-D35)</f>
        <v>0</v>
      </c>
      <c r="E36" s="270">
        <f>SUM(E34-E35)</f>
        <v>0</v>
      </c>
      <c r="F36" s="270">
        <f>SUM(C36:E36)</f>
        <v>0</v>
      </c>
      <c r="G36" s="135"/>
      <c r="H36" s="135"/>
      <c r="I36" s="135"/>
      <c r="J36" s="135"/>
      <c r="K36" s="135"/>
      <c r="L36" s="135"/>
      <c r="M36" s="135"/>
      <c r="N36" s="135"/>
      <c r="O36" s="135"/>
      <c r="P36" s="135"/>
      <c r="Q36" s="124"/>
      <c r="R36" s="135"/>
      <c r="S36" s="124"/>
      <c r="T36" s="124"/>
      <c r="U36" s="124"/>
      <c r="V36" s="124"/>
      <c r="W36" s="135"/>
      <c r="X36" s="182">
        <v>4</v>
      </c>
      <c r="Y36" s="200"/>
      <c r="Z36" s="201"/>
      <c r="AA36" s="182"/>
      <c r="AB36" s="182"/>
      <c r="AC36" s="277"/>
      <c r="AD36" s="108"/>
      <c r="AE36" s="108">
        <f t="shared" si="7"/>
        <v>0</v>
      </c>
      <c r="AF36" s="182"/>
      <c r="AG36" s="182"/>
      <c r="AH36" s="202"/>
      <c r="AI36" s="203"/>
      <c r="AJ36" s="108">
        <v>0</v>
      </c>
      <c r="AK36" s="306"/>
      <c r="AL36" s="258">
        <f t="shared" si="8"/>
        <v>0</v>
      </c>
      <c r="AM36" s="221">
        <v>4</v>
      </c>
      <c r="AN36" s="16"/>
      <c r="AR36" s="12"/>
      <c r="AS36" s="11"/>
      <c r="AT36" s="11"/>
      <c r="AU36" s="11"/>
      <c r="AV36" s="12"/>
      <c r="AW36" s="2"/>
      <c r="AY36" s="2"/>
      <c r="AZ36" s="2"/>
      <c r="BA36" s="2"/>
      <c r="BB36" s="2"/>
    </row>
    <row r="37" spans="1:54" ht="18.75" x14ac:dyDescent="0.3">
      <c r="A37" s="124"/>
      <c r="B37" s="124"/>
      <c r="C37" s="124"/>
      <c r="D37" s="124"/>
      <c r="E37" s="124"/>
      <c r="F37" s="124"/>
      <c r="G37" s="124"/>
      <c r="H37" s="124"/>
      <c r="I37" s="124"/>
      <c r="J37" s="124"/>
      <c r="K37" s="124"/>
      <c r="L37" s="124"/>
      <c r="M37" s="124"/>
      <c r="N37" s="124"/>
      <c r="O37" s="124"/>
      <c r="P37" s="124"/>
      <c r="Q37" s="159"/>
      <c r="R37" s="135"/>
      <c r="S37" s="124"/>
      <c r="T37" s="124"/>
      <c r="U37" s="124"/>
      <c r="V37" s="124"/>
      <c r="W37" s="135"/>
      <c r="X37" s="182">
        <v>5</v>
      </c>
      <c r="Y37" s="217"/>
      <c r="Z37" s="201"/>
      <c r="AA37" s="182"/>
      <c r="AB37" s="221"/>
      <c r="AC37" s="258"/>
      <c r="AD37" s="210"/>
      <c r="AE37" s="108">
        <f t="shared" si="7"/>
        <v>0</v>
      </c>
      <c r="AF37" s="182"/>
      <c r="AG37" s="216"/>
      <c r="AH37" s="202"/>
      <c r="AI37" s="203"/>
      <c r="AJ37" s="108">
        <f>AE37</f>
        <v>0</v>
      </c>
      <c r="AK37" s="301"/>
      <c r="AL37" s="258">
        <f t="shared" si="8"/>
        <v>0</v>
      </c>
      <c r="AM37" s="221">
        <v>5</v>
      </c>
      <c r="AN37" s="22"/>
      <c r="AR37" s="12"/>
      <c r="AS37" s="11"/>
      <c r="AT37" s="11"/>
      <c r="AU37" s="11"/>
      <c r="AV37" s="12"/>
      <c r="AW37" s="2"/>
    </row>
    <row r="38" spans="1:54" ht="18.75" x14ac:dyDescent="0.3">
      <c r="A38" s="124"/>
      <c r="B38" s="124"/>
      <c r="C38" s="124"/>
      <c r="D38" s="124"/>
      <c r="E38" s="124"/>
      <c r="F38" s="124"/>
      <c r="G38" s="124"/>
      <c r="H38" s="124"/>
      <c r="I38" s="124"/>
      <c r="J38" s="124"/>
      <c r="K38" s="124"/>
      <c r="L38" s="124"/>
      <c r="M38" s="124"/>
      <c r="N38" s="124"/>
      <c r="O38" s="124"/>
      <c r="P38" s="124"/>
      <c r="Q38" s="124"/>
      <c r="R38" s="135"/>
      <c r="S38" s="124"/>
      <c r="T38" s="124"/>
      <c r="U38" s="124"/>
      <c r="V38" s="124"/>
      <c r="W38" s="135"/>
      <c r="X38" s="182">
        <v>6</v>
      </c>
      <c r="Y38" s="200"/>
      <c r="Z38" s="201"/>
      <c r="AA38" s="182"/>
      <c r="AB38" s="182"/>
      <c r="AC38" s="277"/>
      <c r="AD38" s="108"/>
      <c r="AE38" s="108">
        <f t="shared" si="7"/>
        <v>0</v>
      </c>
      <c r="AF38" s="182"/>
      <c r="AG38" s="216"/>
      <c r="AH38" s="202"/>
      <c r="AI38" s="203"/>
      <c r="AJ38" s="108">
        <v>0</v>
      </c>
      <c r="AK38" s="301"/>
      <c r="AL38" s="258">
        <f t="shared" si="8"/>
        <v>0</v>
      </c>
      <c r="AM38" s="221">
        <v>6</v>
      </c>
      <c r="AN38" s="16"/>
      <c r="AR38" s="2"/>
      <c r="AS38" s="11"/>
      <c r="AT38" s="11"/>
      <c r="AU38" s="11"/>
      <c r="AV38" s="12"/>
      <c r="AW38" s="2"/>
      <c r="BA38" s="7"/>
    </row>
    <row r="39" spans="1:54" ht="18.75" x14ac:dyDescent="0.3">
      <c r="A39" s="124"/>
      <c r="B39" s="124"/>
      <c r="C39" s="124"/>
      <c r="D39" s="124"/>
      <c r="E39" s="124"/>
      <c r="F39" s="124"/>
      <c r="G39" s="124"/>
      <c r="H39" s="124"/>
      <c r="I39" s="124"/>
      <c r="J39" s="124"/>
      <c r="K39" s="124"/>
      <c r="L39" s="124"/>
      <c r="M39" s="124"/>
      <c r="N39" s="124"/>
      <c r="O39" s="124"/>
      <c r="P39" s="124"/>
      <c r="Q39" s="124"/>
      <c r="R39" s="135"/>
      <c r="S39" s="124"/>
      <c r="T39" s="124"/>
      <c r="U39" s="124"/>
      <c r="V39" s="124"/>
      <c r="W39" s="135"/>
      <c r="X39" s="182">
        <v>7</v>
      </c>
      <c r="Y39" s="200"/>
      <c r="Z39" s="201"/>
      <c r="AA39" s="182"/>
      <c r="AB39" s="182"/>
      <c r="AC39" s="277"/>
      <c r="AD39" s="108"/>
      <c r="AE39" s="108">
        <f t="shared" si="7"/>
        <v>0</v>
      </c>
      <c r="AF39" s="182"/>
      <c r="AG39" s="182"/>
      <c r="AH39" s="202"/>
      <c r="AI39" s="203"/>
      <c r="AJ39" s="108">
        <f t="shared" ref="AJ39:AJ62" si="10">AE39</f>
        <v>0</v>
      </c>
      <c r="AK39" s="301"/>
      <c r="AL39" s="258">
        <f t="shared" si="8"/>
        <v>0</v>
      </c>
      <c r="AM39" s="221">
        <v>7</v>
      </c>
      <c r="AN39" s="16"/>
      <c r="AR39" s="2"/>
      <c r="AS39" s="11"/>
      <c r="AT39" s="11"/>
      <c r="AU39" s="11"/>
      <c r="AV39" s="12"/>
      <c r="AW39" s="2"/>
      <c r="BA39" s="7"/>
    </row>
    <row r="40" spans="1:54" ht="18.75" x14ac:dyDescent="0.3">
      <c r="A40" s="124"/>
      <c r="B40" s="124"/>
      <c r="C40" s="124"/>
      <c r="D40" s="124"/>
      <c r="E40" s="124"/>
      <c r="F40" s="124"/>
      <c r="G40" s="124"/>
      <c r="H40" s="124"/>
      <c r="I40" s="124"/>
      <c r="J40" s="124"/>
      <c r="K40" s="124"/>
      <c r="L40" s="124"/>
      <c r="M40" s="124"/>
      <c r="N40" s="324"/>
      <c r="O40" s="324"/>
      <c r="P40" s="124"/>
      <c r="Q40" s="124"/>
      <c r="R40" s="135"/>
      <c r="S40" s="124"/>
      <c r="T40" s="124"/>
      <c r="U40" s="124"/>
      <c r="V40" s="124"/>
      <c r="W40" s="135"/>
      <c r="X40" s="182">
        <v>8</v>
      </c>
      <c r="Y40" s="200"/>
      <c r="Z40" s="201"/>
      <c r="AA40" s="182"/>
      <c r="AB40" s="182"/>
      <c r="AC40" s="258"/>
      <c r="AD40" s="210"/>
      <c r="AE40" s="108">
        <f t="shared" si="7"/>
        <v>0</v>
      </c>
      <c r="AF40" s="182"/>
      <c r="AG40" s="182"/>
      <c r="AH40" s="202"/>
      <c r="AI40" s="203"/>
      <c r="AJ40" s="108">
        <f t="shared" si="10"/>
        <v>0</v>
      </c>
      <c r="AK40" s="301"/>
      <c r="AL40" s="258">
        <f t="shared" si="8"/>
        <v>0</v>
      </c>
      <c r="AM40" s="221">
        <v>8</v>
      </c>
      <c r="AN40" s="16"/>
      <c r="AR40" s="2"/>
      <c r="AS40" s="11"/>
      <c r="AT40" s="11"/>
      <c r="AU40" s="11"/>
      <c r="AV40" s="12"/>
      <c r="AW40" s="2"/>
    </row>
    <row r="41" spans="1:54" ht="18.75" x14ac:dyDescent="0.3">
      <c r="A41" s="124"/>
      <c r="B41" s="124"/>
      <c r="C41" s="124"/>
      <c r="D41" s="124"/>
      <c r="E41" s="124"/>
      <c r="F41" s="124"/>
      <c r="G41" s="124"/>
      <c r="H41" s="124"/>
      <c r="I41" s="124"/>
      <c r="J41" s="124"/>
      <c r="K41" s="124"/>
      <c r="L41" s="124"/>
      <c r="M41" s="124"/>
      <c r="N41" s="324"/>
      <c r="O41" s="324"/>
      <c r="P41" s="124"/>
      <c r="Q41" s="124"/>
      <c r="R41" s="135"/>
      <c r="S41" s="124"/>
      <c r="T41" s="124"/>
      <c r="U41" s="124"/>
      <c r="V41" s="124"/>
      <c r="W41" s="135"/>
      <c r="X41" s="182">
        <v>9</v>
      </c>
      <c r="Y41" s="200"/>
      <c r="Z41" s="201"/>
      <c r="AA41" s="182"/>
      <c r="AB41" s="182"/>
      <c r="AC41" s="277"/>
      <c r="AD41" s="108"/>
      <c r="AE41" s="108">
        <f t="shared" si="7"/>
        <v>0</v>
      </c>
      <c r="AF41" s="182"/>
      <c r="AG41" s="182"/>
      <c r="AH41" s="202"/>
      <c r="AI41" s="203"/>
      <c r="AJ41" s="108">
        <f t="shared" si="10"/>
        <v>0</v>
      </c>
      <c r="AK41" s="301"/>
      <c r="AL41" s="258">
        <f t="shared" si="8"/>
        <v>0</v>
      </c>
      <c r="AM41" s="221">
        <v>9</v>
      </c>
      <c r="AN41" s="16"/>
      <c r="AR41" s="2"/>
      <c r="AS41" s="11"/>
      <c r="AT41" s="11"/>
      <c r="AU41" s="11"/>
      <c r="AV41" s="12"/>
      <c r="AW41" s="2"/>
    </row>
    <row r="42" spans="1:54" ht="18.75" x14ac:dyDescent="0.3">
      <c r="A42" s="124"/>
      <c r="B42" s="124"/>
      <c r="C42" s="124"/>
      <c r="D42" s="124"/>
      <c r="E42" s="124"/>
      <c r="F42" s="124"/>
      <c r="G42" s="124"/>
      <c r="H42" s="124"/>
      <c r="I42" s="124" t="s">
        <v>14</v>
      </c>
      <c r="J42" s="124"/>
      <c r="K42" s="124"/>
      <c r="L42" s="124"/>
      <c r="M42" s="124"/>
      <c r="N42" s="324"/>
      <c r="O42" s="324"/>
      <c r="P42" s="124"/>
      <c r="Q42" s="124"/>
      <c r="R42" s="135"/>
      <c r="S42" s="124"/>
      <c r="T42" s="124"/>
      <c r="U42" s="124"/>
      <c r="V42" s="124"/>
      <c r="W42" s="135"/>
      <c r="X42" s="182">
        <v>10</v>
      </c>
      <c r="Y42" s="200"/>
      <c r="Z42" s="201"/>
      <c r="AA42" s="182"/>
      <c r="AB42" s="182"/>
      <c r="AC42" s="258"/>
      <c r="AD42" s="210"/>
      <c r="AE42" s="108">
        <f t="shared" si="7"/>
        <v>0</v>
      </c>
      <c r="AF42" s="182"/>
      <c r="AG42" s="182"/>
      <c r="AH42" s="202"/>
      <c r="AI42" s="203"/>
      <c r="AJ42" s="108">
        <f t="shared" si="10"/>
        <v>0</v>
      </c>
      <c r="AK42" s="163"/>
      <c r="AL42" s="258">
        <f t="shared" si="8"/>
        <v>0</v>
      </c>
      <c r="AM42" s="221">
        <v>10</v>
      </c>
      <c r="AN42" s="16"/>
      <c r="AR42" s="2"/>
      <c r="AS42" s="11"/>
      <c r="AT42" s="11"/>
      <c r="AU42" s="11"/>
      <c r="AV42" s="2"/>
      <c r="AW42" s="2"/>
    </row>
    <row r="43" spans="1:54" ht="15.75" x14ac:dyDescent="0.25">
      <c r="A43" s="124"/>
      <c r="B43" s="124"/>
      <c r="C43" s="279"/>
      <c r="D43" s="279"/>
      <c r="E43" s="124"/>
      <c r="F43" s="124"/>
      <c r="G43" s="124"/>
      <c r="H43" s="124"/>
      <c r="I43" s="124"/>
      <c r="J43" s="124"/>
      <c r="K43" s="124"/>
      <c r="L43" s="124"/>
      <c r="M43" s="124"/>
      <c r="N43" s="324"/>
      <c r="O43" s="325"/>
      <c r="P43" s="124"/>
      <c r="Q43" s="124"/>
      <c r="R43" s="135"/>
      <c r="S43" s="124"/>
      <c r="T43" s="124"/>
      <c r="U43" s="124"/>
      <c r="V43" s="124"/>
      <c r="W43" s="135"/>
      <c r="X43" s="182">
        <v>11</v>
      </c>
      <c r="Y43" s="200"/>
      <c r="Z43" s="201"/>
      <c r="AA43" s="182"/>
      <c r="AB43" s="182"/>
      <c r="AC43" s="258"/>
      <c r="AD43" s="210"/>
      <c r="AE43" s="108">
        <f t="shared" si="7"/>
        <v>0</v>
      </c>
      <c r="AF43" s="182"/>
      <c r="AG43" s="182"/>
      <c r="AH43" s="202"/>
      <c r="AI43" s="203"/>
      <c r="AJ43" s="108">
        <f t="shared" si="10"/>
        <v>0</v>
      </c>
      <c r="AK43" s="23"/>
      <c r="AL43" s="258">
        <f t="shared" si="8"/>
        <v>0</v>
      </c>
      <c r="AM43" s="221">
        <v>11</v>
      </c>
      <c r="AN43" s="38"/>
      <c r="AR43" s="2"/>
      <c r="AS43" s="11"/>
      <c r="AT43" s="11"/>
      <c r="AU43" s="11"/>
      <c r="AV43" s="2"/>
    </row>
    <row r="44" spans="1:54" ht="15.75" x14ac:dyDescent="0.25">
      <c r="A44" s="124"/>
      <c r="B44" s="124"/>
      <c r="C44" s="124"/>
      <c r="D44" s="124"/>
      <c r="E44" s="124"/>
      <c r="F44" s="124"/>
      <c r="G44" s="124"/>
      <c r="H44" s="124"/>
      <c r="I44" s="124"/>
      <c r="J44" s="135"/>
      <c r="K44" s="124"/>
      <c r="L44" s="124"/>
      <c r="M44" s="124"/>
      <c r="N44" s="324"/>
      <c r="O44" s="324"/>
      <c r="P44" s="124"/>
      <c r="Q44" s="124"/>
      <c r="R44" s="135"/>
      <c r="S44" s="124"/>
      <c r="T44" s="124"/>
      <c r="U44" s="124"/>
      <c r="V44" s="124"/>
      <c r="W44" s="135"/>
      <c r="X44" s="182">
        <v>12</v>
      </c>
      <c r="Y44" s="200"/>
      <c r="Z44" s="201"/>
      <c r="AA44" s="221"/>
      <c r="AB44" s="182"/>
      <c r="AC44" s="258"/>
      <c r="AD44" s="210"/>
      <c r="AE44" s="108">
        <f t="shared" si="7"/>
        <v>0</v>
      </c>
      <c r="AF44" s="182"/>
      <c r="AG44" s="182"/>
      <c r="AH44" s="202"/>
      <c r="AI44" s="203"/>
      <c r="AJ44" s="108">
        <f t="shared" si="10"/>
        <v>0</v>
      </c>
      <c r="AK44" s="25"/>
      <c r="AL44" s="258">
        <f t="shared" si="8"/>
        <v>0</v>
      </c>
      <c r="AM44" s="221">
        <v>12</v>
      </c>
      <c r="AN44" s="28"/>
      <c r="AR44" s="2"/>
      <c r="AS44" s="11"/>
      <c r="AT44" s="11"/>
      <c r="AU44" s="11"/>
      <c r="AV44" s="2"/>
    </row>
    <row r="45" spans="1:54" ht="15.75" x14ac:dyDescent="0.25">
      <c r="A45" s="135"/>
      <c r="B45" s="135"/>
      <c r="C45" s="135"/>
      <c r="D45" s="135"/>
      <c r="E45" s="135"/>
      <c r="F45" s="135"/>
      <c r="G45" s="135"/>
      <c r="H45" s="135"/>
      <c r="I45" s="135"/>
      <c r="J45" s="135"/>
      <c r="K45" s="135"/>
      <c r="L45" s="135"/>
      <c r="M45" s="135"/>
      <c r="N45" s="326"/>
      <c r="O45" s="327"/>
      <c r="P45" s="135"/>
      <c r="Q45" s="124"/>
      <c r="R45" s="135"/>
      <c r="S45" s="124"/>
      <c r="T45" s="124"/>
      <c r="U45" s="124"/>
      <c r="V45" s="124"/>
      <c r="W45" s="135"/>
      <c r="X45" s="182">
        <v>13</v>
      </c>
      <c r="Y45" s="200"/>
      <c r="Z45" s="201"/>
      <c r="AA45" s="182"/>
      <c r="AB45" s="182"/>
      <c r="AC45" s="258"/>
      <c r="AD45" s="210"/>
      <c r="AE45" s="108">
        <f t="shared" si="7"/>
        <v>0</v>
      </c>
      <c r="AF45" s="182"/>
      <c r="AG45" s="208"/>
      <c r="AH45" s="202"/>
      <c r="AI45" s="203"/>
      <c r="AJ45" s="108">
        <f t="shared" si="10"/>
        <v>0</v>
      </c>
      <c r="AK45" s="25"/>
      <c r="AL45" s="258">
        <f t="shared" si="8"/>
        <v>0</v>
      </c>
      <c r="AM45" s="221">
        <v>13</v>
      </c>
      <c r="AN45" s="32"/>
      <c r="AR45" s="2"/>
      <c r="AS45" s="11"/>
      <c r="AT45" s="11"/>
      <c r="AU45" s="11"/>
      <c r="AV45" s="2"/>
    </row>
    <row r="46" spans="1:54" ht="18.75" x14ac:dyDescent="0.3">
      <c r="A46" s="135"/>
      <c r="B46" s="135"/>
      <c r="C46" s="135"/>
      <c r="D46" s="135"/>
      <c r="E46" s="135"/>
      <c r="F46" s="135"/>
      <c r="G46" s="135"/>
      <c r="H46" s="135"/>
      <c r="I46" s="135"/>
      <c r="J46" s="124"/>
      <c r="K46" s="135"/>
      <c r="L46" s="135"/>
      <c r="M46" s="135"/>
      <c r="N46" s="135"/>
      <c r="O46" s="135"/>
      <c r="P46" s="135" t="s">
        <v>14</v>
      </c>
      <c r="Q46" s="124"/>
      <c r="R46" s="135"/>
      <c r="S46" s="124"/>
      <c r="T46" s="124"/>
      <c r="U46" s="124"/>
      <c r="V46" s="124"/>
      <c r="W46" s="135"/>
      <c r="X46" s="182">
        <v>14</v>
      </c>
      <c r="Y46" s="200"/>
      <c r="Z46" s="201"/>
      <c r="AA46" s="182"/>
      <c r="AB46" s="182"/>
      <c r="AC46" s="258"/>
      <c r="AD46" s="210"/>
      <c r="AE46" s="108">
        <f t="shared" si="7"/>
        <v>0</v>
      </c>
      <c r="AF46" s="182"/>
      <c r="AG46" s="226"/>
      <c r="AH46" s="202"/>
      <c r="AI46" s="203"/>
      <c r="AJ46" s="108">
        <f t="shared" si="10"/>
        <v>0</v>
      </c>
      <c r="AK46" s="163"/>
      <c r="AL46" s="258">
        <f t="shared" si="8"/>
        <v>0</v>
      </c>
      <c r="AM46" s="221">
        <v>14</v>
      </c>
      <c r="AN46" s="34"/>
      <c r="AR46" s="2"/>
      <c r="AS46" s="11"/>
      <c r="AT46" s="11"/>
      <c r="AU46" s="11"/>
      <c r="AV46" s="2"/>
    </row>
    <row r="47" spans="1:54" ht="15.75" x14ac:dyDescent="0.25">
      <c r="A47" s="280"/>
      <c r="B47" s="135"/>
      <c r="C47" s="135"/>
      <c r="D47" s="135"/>
      <c r="E47" s="135"/>
      <c r="F47" s="281"/>
      <c r="G47" s="135"/>
      <c r="H47" s="135"/>
      <c r="I47" s="135"/>
      <c r="J47" s="135"/>
      <c r="K47" s="135"/>
      <c r="L47" s="135"/>
      <c r="M47" s="135"/>
      <c r="N47" s="135"/>
      <c r="O47" s="135"/>
      <c r="P47" s="135"/>
      <c r="Q47" s="124"/>
      <c r="R47" s="135"/>
      <c r="S47" s="124"/>
      <c r="T47" s="124"/>
      <c r="U47" s="124"/>
      <c r="V47" s="124"/>
      <c r="W47" s="135"/>
      <c r="X47" s="182">
        <v>15</v>
      </c>
      <c r="Y47" s="200"/>
      <c r="Z47" s="201"/>
      <c r="AA47" s="182"/>
      <c r="AB47" s="228"/>
      <c r="AC47" s="258"/>
      <c r="AD47" s="210"/>
      <c r="AE47" s="108">
        <f t="shared" si="7"/>
        <v>0</v>
      </c>
      <c r="AF47" s="182"/>
      <c r="AG47" s="182"/>
      <c r="AH47" s="202"/>
      <c r="AI47" s="203"/>
      <c r="AJ47" s="108">
        <f t="shared" si="10"/>
        <v>0</v>
      </c>
      <c r="AK47" s="23"/>
      <c r="AL47" s="258">
        <f t="shared" si="8"/>
        <v>0</v>
      </c>
      <c r="AM47" s="221">
        <v>15</v>
      </c>
      <c r="AN47" s="24"/>
      <c r="BA47" s="7"/>
    </row>
    <row r="48" spans="1:54" ht="15.75" x14ac:dyDescent="0.25">
      <c r="A48" s="280"/>
      <c r="B48" s="135"/>
      <c r="C48" s="135"/>
      <c r="D48" s="135"/>
      <c r="E48" s="135"/>
      <c r="F48" s="135"/>
      <c r="G48" s="135"/>
      <c r="H48" s="135"/>
      <c r="I48" s="135"/>
      <c r="J48" s="135"/>
      <c r="K48" s="135"/>
      <c r="L48" s="135"/>
      <c r="M48" s="135"/>
      <c r="N48" s="135"/>
      <c r="O48" s="135"/>
      <c r="P48" s="135"/>
      <c r="Q48" s="124"/>
      <c r="R48" s="135"/>
      <c r="S48" s="124"/>
      <c r="T48" s="124"/>
      <c r="U48" s="124"/>
      <c r="V48" s="124"/>
      <c r="W48" s="135"/>
      <c r="X48" s="182">
        <v>16</v>
      </c>
      <c r="Y48" s="200"/>
      <c r="Z48" s="201"/>
      <c r="AA48" s="182"/>
      <c r="AB48" s="182"/>
      <c r="AC48" s="258"/>
      <c r="AD48" s="210"/>
      <c r="AE48" s="108">
        <f t="shared" si="7"/>
        <v>0</v>
      </c>
      <c r="AF48" s="182"/>
      <c r="AG48" s="182"/>
      <c r="AH48" s="202"/>
      <c r="AI48" s="203"/>
      <c r="AJ48" s="108">
        <f t="shared" si="10"/>
        <v>0</v>
      </c>
      <c r="AK48" s="23"/>
      <c r="AL48" s="258">
        <f t="shared" si="8"/>
        <v>0</v>
      </c>
      <c r="AM48" s="221">
        <v>16</v>
      </c>
      <c r="AN48" s="24"/>
      <c r="AY48" s="7"/>
      <c r="BA48" s="7"/>
    </row>
    <row r="49" spans="1:54" ht="18.75" x14ac:dyDescent="0.3">
      <c r="A49" s="280"/>
      <c r="B49" s="135"/>
      <c r="C49" s="135"/>
      <c r="D49" s="135"/>
      <c r="E49" s="135"/>
      <c r="F49" s="281"/>
      <c r="G49" s="135"/>
      <c r="H49" s="135"/>
      <c r="I49" s="135"/>
      <c r="J49" s="135"/>
      <c r="K49" s="135"/>
      <c r="L49" s="135"/>
      <c r="M49" s="135"/>
      <c r="N49" s="135"/>
      <c r="O49" s="135"/>
      <c r="P49" s="135"/>
      <c r="Q49" s="124"/>
      <c r="R49" s="135"/>
      <c r="S49" s="124"/>
      <c r="T49" s="124"/>
      <c r="U49" s="124"/>
      <c r="V49" s="124"/>
      <c r="W49" s="135"/>
      <c r="X49" s="182">
        <v>17</v>
      </c>
      <c r="Y49" s="223"/>
      <c r="Z49" s="224"/>
      <c r="AA49" s="208"/>
      <c r="AB49" s="208"/>
      <c r="AC49" s="277"/>
      <c r="AD49" s="108"/>
      <c r="AE49" s="108">
        <f t="shared" si="7"/>
        <v>0</v>
      </c>
      <c r="AF49" s="208"/>
      <c r="AG49" s="208"/>
      <c r="AH49" s="202"/>
      <c r="AI49" s="203"/>
      <c r="AJ49" s="108">
        <f t="shared" si="10"/>
        <v>0</v>
      </c>
      <c r="AK49" s="163"/>
      <c r="AL49" s="258">
        <f t="shared" si="8"/>
        <v>0</v>
      </c>
      <c r="AM49" s="221">
        <v>17</v>
      </c>
      <c r="AN49" s="22"/>
      <c r="AY49" s="7"/>
      <c r="BA49" s="7"/>
    </row>
    <row r="50" spans="1:54" ht="18.75" x14ac:dyDescent="0.3">
      <c r="A50" s="280"/>
      <c r="B50" s="135"/>
      <c r="C50" s="135"/>
      <c r="D50" s="135"/>
      <c r="E50" s="135"/>
      <c r="F50" s="281"/>
      <c r="G50" s="135"/>
      <c r="H50" s="135"/>
      <c r="I50" s="135"/>
      <c r="J50" s="135"/>
      <c r="K50" s="135"/>
      <c r="L50" s="135"/>
      <c r="M50" s="135"/>
      <c r="N50" s="135"/>
      <c r="O50" s="135"/>
      <c r="P50" s="135"/>
      <c r="Q50" s="124"/>
      <c r="R50" s="135"/>
      <c r="S50" s="124"/>
      <c r="T50" s="124"/>
      <c r="U50" s="124"/>
      <c r="V50" s="124"/>
      <c r="W50" s="135"/>
      <c r="X50" s="182">
        <v>18</v>
      </c>
      <c r="Y50" s="200"/>
      <c r="Z50" s="201"/>
      <c r="AA50" s="182"/>
      <c r="AB50" s="182"/>
      <c r="AC50" s="277"/>
      <c r="AD50" s="108"/>
      <c r="AE50" s="108">
        <f t="shared" si="7"/>
        <v>0</v>
      </c>
      <c r="AF50" s="182"/>
      <c r="AG50" s="216"/>
      <c r="AH50" s="202"/>
      <c r="AI50" s="203"/>
      <c r="AJ50" s="108">
        <f t="shared" si="10"/>
        <v>0</v>
      </c>
      <c r="AK50" s="163"/>
      <c r="AL50" s="258">
        <f t="shared" si="8"/>
        <v>0</v>
      </c>
      <c r="AM50" s="221">
        <v>18</v>
      </c>
      <c r="AN50" s="22"/>
      <c r="AY50" s="2"/>
    </row>
    <row r="51" spans="1:54" ht="18.75" x14ac:dyDescent="0.3">
      <c r="A51" s="280"/>
      <c r="B51" s="135"/>
      <c r="C51" s="135"/>
      <c r="D51" s="135"/>
      <c r="E51" s="135"/>
      <c r="F51" s="281"/>
      <c r="G51" s="135"/>
      <c r="H51" s="135"/>
      <c r="I51" s="135"/>
      <c r="J51" s="135"/>
      <c r="K51" s="135"/>
      <c r="L51" s="135"/>
      <c r="M51" s="135"/>
      <c r="N51" s="135"/>
      <c r="O51" s="135"/>
      <c r="P51" s="135"/>
      <c r="Q51" s="124"/>
      <c r="R51" s="135"/>
      <c r="S51" s="124"/>
      <c r="T51" s="124"/>
      <c r="U51" s="124"/>
      <c r="V51" s="124"/>
      <c r="W51" s="135"/>
      <c r="X51" s="182">
        <v>19</v>
      </c>
      <c r="Y51" s="200"/>
      <c r="Z51" s="201"/>
      <c r="AA51" s="182"/>
      <c r="AB51" s="221"/>
      <c r="AC51" s="277"/>
      <c r="AD51" s="108"/>
      <c r="AE51" s="108">
        <f t="shared" si="7"/>
        <v>0</v>
      </c>
      <c r="AF51" s="182"/>
      <c r="AG51" s="182"/>
      <c r="AH51" s="202"/>
      <c r="AI51" s="203"/>
      <c r="AJ51" s="108">
        <f t="shared" si="10"/>
        <v>0</v>
      </c>
      <c r="AK51" s="163"/>
      <c r="AL51" s="258">
        <f t="shared" si="8"/>
        <v>0</v>
      </c>
      <c r="AM51" s="221">
        <v>19</v>
      </c>
      <c r="AN51" s="22"/>
      <c r="AR51" s="2"/>
      <c r="AS51" s="2"/>
      <c r="AT51" s="2"/>
      <c r="AU51" s="2"/>
      <c r="AV51" s="2"/>
      <c r="AY51" s="2"/>
      <c r="AZ51" s="2"/>
      <c r="BA51" s="2"/>
      <c r="BB51" s="2"/>
    </row>
    <row r="52" spans="1:54" ht="18.75" x14ac:dyDescent="0.3">
      <c r="A52" s="280"/>
      <c r="B52" s="135"/>
      <c r="C52" s="135"/>
      <c r="D52" s="135"/>
      <c r="E52" s="135"/>
      <c r="F52" s="135"/>
      <c r="G52" s="135"/>
      <c r="H52" s="135"/>
      <c r="I52" s="135"/>
      <c r="J52" s="135"/>
      <c r="K52" s="135"/>
      <c r="L52" s="135"/>
      <c r="M52" s="135"/>
      <c r="N52" s="135"/>
      <c r="O52" s="135"/>
      <c r="P52" s="135"/>
      <c r="Q52" s="124"/>
      <c r="R52" s="135"/>
      <c r="S52" s="124"/>
      <c r="T52" s="124"/>
      <c r="U52" s="124"/>
      <c r="V52" s="124"/>
      <c r="W52" s="135"/>
      <c r="X52" s="182">
        <v>20</v>
      </c>
      <c r="Y52" s="200"/>
      <c r="Z52" s="201"/>
      <c r="AA52" s="182"/>
      <c r="AB52" s="182"/>
      <c r="AC52" s="277"/>
      <c r="AD52" s="108"/>
      <c r="AE52" s="108">
        <f t="shared" si="7"/>
        <v>0</v>
      </c>
      <c r="AF52" s="182"/>
      <c r="AG52" s="182"/>
      <c r="AH52" s="202"/>
      <c r="AI52" s="203"/>
      <c r="AJ52" s="108">
        <f t="shared" si="10"/>
        <v>0</v>
      </c>
      <c r="AK52" s="163"/>
      <c r="AL52" s="258">
        <f t="shared" si="8"/>
        <v>0</v>
      </c>
      <c r="AM52" s="221">
        <v>20</v>
      </c>
      <c r="AN52" s="22"/>
      <c r="AR52" s="92"/>
      <c r="AS52" s="11"/>
      <c r="AT52" s="11"/>
      <c r="AU52" s="2"/>
      <c r="AV52" s="2"/>
      <c r="AY52" s="2"/>
      <c r="AZ52" s="2"/>
      <c r="BA52" s="12"/>
      <c r="BB52" s="2"/>
    </row>
    <row r="53" spans="1:54" ht="18.75" x14ac:dyDescent="0.3">
      <c r="A53" s="280"/>
      <c r="B53" s="135"/>
      <c r="C53" s="135"/>
      <c r="D53" s="135"/>
      <c r="E53" s="135"/>
      <c r="F53" s="135"/>
      <c r="G53" s="135"/>
      <c r="H53" s="135"/>
      <c r="I53" s="135"/>
      <c r="J53" s="135"/>
      <c r="K53" s="135"/>
      <c r="L53" s="135"/>
      <c r="M53" s="135"/>
      <c r="N53" s="135"/>
      <c r="O53" s="135"/>
      <c r="P53" s="135"/>
      <c r="Q53" s="124"/>
      <c r="R53" s="135"/>
      <c r="S53" s="124"/>
      <c r="T53" s="124"/>
      <c r="U53" s="124"/>
      <c r="V53" s="124"/>
      <c r="W53" s="135"/>
      <c r="X53" s="182">
        <v>21</v>
      </c>
      <c r="Y53" s="200"/>
      <c r="Z53" s="201"/>
      <c r="AA53" s="182"/>
      <c r="AB53" s="225"/>
      <c r="AC53" s="277"/>
      <c r="AD53" s="108"/>
      <c r="AE53" s="108">
        <f t="shared" si="7"/>
        <v>0</v>
      </c>
      <c r="AF53" s="182"/>
      <c r="AG53" s="182"/>
      <c r="AH53" s="202"/>
      <c r="AI53" s="203"/>
      <c r="AJ53" s="108">
        <f t="shared" si="10"/>
        <v>0</v>
      </c>
      <c r="AK53" s="163"/>
      <c r="AL53" s="258">
        <f t="shared" si="8"/>
        <v>0</v>
      </c>
      <c r="AM53" s="221">
        <v>21</v>
      </c>
      <c r="AN53" s="16"/>
      <c r="AR53" s="92"/>
      <c r="AS53" s="11"/>
      <c r="AT53" s="11"/>
      <c r="AU53" s="2"/>
      <c r="AV53" s="2"/>
      <c r="AY53" s="12"/>
      <c r="AZ53" s="2"/>
      <c r="BA53" s="12"/>
      <c r="BB53" s="2"/>
    </row>
    <row r="54" spans="1:54" ht="18.75" x14ac:dyDescent="0.3">
      <c r="A54" s="280"/>
      <c r="B54" s="135"/>
      <c r="C54" s="135"/>
      <c r="D54" s="135"/>
      <c r="E54" s="135"/>
      <c r="F54" s="135"/>
      <c r="G54" s="135"/>
      <c r="H54" s="135"/>
      <c r="I54" s="135"/>
      <c r="J54" s="135"/>
      <c r="K54" s="135"/>
      <c r="L54" s="135"/>
      <c r="M54" s="135"/>
      <c r="N54" s="135"/>
      <c r="O54" s="135"/>
      <c r="P54" s="135"/>
      <c r="Q54" s="124"/>
      <c r="R54" s="135"/>
      <c r="S54" s="124"/>
      <c r="T54" s="124"/>
      <c r="U54" s="124"/>
      <c r="V54" s="124"/>
      <c r="W54" s="135"/>
      <c r="X54" s="182">
        <v>22</v>
      </c>
      <c r="Y54" s="200"/>
      <c r="Z54" s="201"/>
      <c r="AA54" s="182"/>
      <c r="AB54" s="182"/>
      <c r="AC54" s="277"/>
      <c r="AD54" s="108"/>
      <c r="AE54" s="108">
        <f t="shared" si="7"/>
        <v>0</v>
      </c>
      <c r="AF54" s="182"/>
      <c r="AG54" s="182"/>
      <c r="AH54" s="202"/>
      <c r="AI54" s="203"/>
      <c r="AJ54" s="108">
        <f t="shared" si="10"/>
        <v>0</v>
      </c>
      <c r="AK54" s="163"/>
      <c r="AL54" s="258">
        <f t="shared" si="8"/>
        <v>0</v>
      </c>
      <c r="AM54" s="221">
        <v>22</v>
      </c>
      <c r="AN54" s="22"/>
      <c r="AR54" s="92"/>
      <c r="AS54" s="11"/>
      <c r="AT54" s="11"/>
      <c r="AU54" s="2"/>
      <c r="AV54" s="2"/>
      <c r="AY54" s="12"/>
      <c r="AZ54" s="2"/>
      <c r="BA54" s="12"/>
      <c r="BB54" s="2"/>
    </row>
    <row r="55" spans="1:54" ht="18.75" x14ac:dyDescent="0.3">
      <c r="A55" s="280"/>
      <c r="B55" s="135"/>
      <c r="C55" s="135"/>
      <c r="D55" s="135"/>
      <c r="E55" s="135"/>
      <c r="F55" s="135"/>
      <c r="G55" s="135"/>
      <c r="H55" s="135"/>
      <c r="I55" s="135"/>
      <c r="J55" s="135"/>
      <c r="K55" s="135"/>
      <c r="L55" s="135"/>
      <c r="M55" s="135"/>
      <c r="N55" s="135"/>
      <c r="O55" s="135"/>
      <c r="P55" s="135"/>
      <c r="Q55" s="124"/>
      <c r="R55" s="135"/>
      <c r="S55" s="124"/>
      <c r="T55" s="124"/>
      <c r="U55" s="124"/>
      <c r="V55" s="124"/>
      <c r="W55" s="135"/>
      <c r="X55" s="182">
        <v>23</v>
      </c>
      <c r="Y55" s="217"/>
      <c r="Z55" s="201"/>
      <c r="AA55" s="182"/>
      <c r="AB55" s="221"/>
      <c r="AC55" s="277"/>
      <c r="AD55" s="108"/>
      <c r="AE55" s="108">
        <f t="shared" si="7"/>
        <v>0</v>
      </c>
      <c r="AF55" s="182"/>
      <c r="AG55" s="216"/>
      <c r="AH55" s="202"/>
      <c r="AI55" s="203"/>
      <c r="AJ55" s="108">
        <f t="shared" si="10"/>
        <v>0</v>
      </c>
      <c r="AK55" s="163"/>
      <c r="AL55" s="258">
        <f t="shared" si="8"/>
        <v>0</v>
      </c>
      <c r="AM55" s="221">
        <v>23</v>
      </c>
      <c r="AN55" s="22"/>
      <c r="AR55" s="92"/>
      <c r="AS55" s="2"/>
      <c r="AT55" s="2"/>
      <c r="AU55" s="2"/>
      <c r="AV55" s="2"/>
      <c r="AY55" s="2"/>
      <c r="AZ55" s="2"/>
      <c r="BA55" s="12"/>
      <c r="BB55" s="2"/>
    </row>
    <row r="56" spans="1:54" ht="18.75" x14ac:dyDescent="0.3">
      <c r="A56" s="280"/>
      <c r="B56" s="135"/>
      <c r="C56" s="135"/>
      <c r="D56" s="135"/>
      <c r="E56" s="135"/>
      <c r="F56" s="135"/>
      <c r="G56" s="135"/>
      <c r="H56" s="135"/>
      <c r="I56" s="135"/>
      <c r="J56" s="135"/>
      <c r="K56" s="135"/>
      <c r="L56" s="135"/>
      <c r="M56" s="135"/>
      <c r="N56" s="135"/>
      <c r="O56" s="135"/>
      <c r="P56" s="135"/>
      <c r="Q56" s="124"/>
      <c r="R56" s="135"/>
      <c r="S56" s="124"/>
      <c r="T56" s="124"/>
      <c r="U56" s="124"/>
      <c r="V56" s="124"/>
      <c r="W56" s="135"/>
      <c r="X56" s="182">
        <v>24</v>
      </c>
      <c r="Y56" s="200"/>
      <c r="Z56" s="201"/>
      <c r="AA56" s="182"/>
      <c r="AB56" s="182"/>
      <c r="AC56" s="277"/>
      <c r="AD56" s="108"/>
      <c r="AE56" s="108">
        <f t="shared" si="7"/>
        <v>0</v>
      </c>
      <c r="AF56" s="182"/>
      <c r="AG56" s="182"/>
      <c r="AH56" s="202"/>
      <c r="AI56" s="203"/>
      <c r="AJ56" s="108">
        <f t="shared" si="10"/>
        <v>0</v>
      </c>
      <c r="AK56" s="301"/>
      <c r="AL56" s="258">
        <f t="shared" si="8"/>
        <v>0</v>
      </c>
      <c r="AM56" s="221">
        <v>24</v>
      </c>
      <c r="AN56" s="22"/>
      <c r="AR56" s="2"/>
      <c r="AS56" s="2"/>
      <c r="AT56" s="2"/>
      <c r="AU56" s="2"/>
      <c r="AV56" s="2"/>
      <c r="AY56" s="2"/>
      <c r="AZ56" s="2"/>
      <c r="BA56" s="2"/>
      <c r="BB56" s="2"/>
    </row>
    <row r="57" spans="1:54" ht="18.75" x14ac:dyDescent="0.3">
      <c r="A57" s="280"/>
      <c r="B57" s="135"/>
      <c r="C57" s="135"/>
      <c r="D57" s="135"/>
      <c r="E57" s="135"/>
      <c r="F57" s="135"/>
      <c r="G57" s="135"/>
      <c r="H57" s="135"/>
      <c r="I57" s="135"/>
      <c r="J57" s="135"/>
      <c r="K57" s="135"/>
      <c r="L57" s="135"/>
      <c r="M57" s="135"/>
      <c r="N57" s="135"/>
      <c r="O57" s="135"/>
      <c r="P57" s="135"/>
      <c r="Q57" s="124"/>
      <c r="R57" s="135"/>
      <c r="S57" s="124"/>
      <c r="T57" s="124"/>
      <c r="U57" s="124"/>
      <c r="V57" s="124"/>
      <c r="W57" s="135"/>
      <c r="X57" s="182">
        <v>25</v>
      </c>
      <c r="Y57" s="200"/>
      <c r="Z57" s="201"/>
      <c r="AA57" s="182"/>
      <c r="AB57" s="182"/>
      <c r="AC57" s="277"/>
      <c r="AD57" s="108"/>
      <c r="AE57" s="108">
        <f t="shared" si="7"/>
        <v>0</v>
      </c>
      <c r="AF57" s="182"/>
      <c r="AG57" s="182"/>
      <c r="AH57" s="202"/>
      <c r="AI57" s="203"/>
      <c r="AJ57" s="108">
        <f t="shared" si="10"/>
        <v>0</v>
      </c>
      <c r="AK57" s="163"/>
      <c r="AL57" s="258">
        <f t="shared" si="8"/>
        <v>0</v>
      </c>
      <c r="AM57" s="221">
        <v>25</v>
      </c>
      <c r="AN57" s="36"/>
      <c r="AR57" s="92"/>
      <c r="AS57" s="2"/>
      <c r="AT57" s="2"/>
      <c r="AU57" s="2"/>
      <c r="AV57" s="2"/>
      <c r="AY57" s="2"/>
      <c r="AZ57" s="2"/>
      <c r="BA57" s="2"/>
      <c r="BB57" s="2"/>
    </row>
    <row r="58" spans="1:54" ht="18.75" x14ac:dyDescent="0.3">
      <c r="A58" s="280"/>
      <c r="B58" s="135"/>
      <c r="C58" s="135"/>
      <c r="D58" s="135"/>
      <c r="E58" s="135"/>
      <c r="F58" s="135"/>
      <c r="G58" s="135"/>
      <c r="H58" s="135"/>
      <c r="I58" s="135"/>
      <c r="J58" s="135"/>
      <c r="K58" s="135"/>
      <c r="L58" s="135"/>
      <c r="M58" s="135"/>
      <c r="N58" s="135"/>
      <c r="O58" s="135"/>
      <c r="P58" s="135"/>
      <c r="Q58" s="124"/>
      <c r="R58" s="135"/>
      <c r="S58" s="124"/>
      <c r="T58" s="124"/>
      <c r="U58" s="124"/>
      <c r="V58" s="124"/>
      <c r="W58" s="135"/>
      <c r="X58" s="182">
        <v>26</v>
      </c>
      <c r="Y58" s="200"/>
      <c r="Z58" s="201"/>
      <c r="AA58" s="182"/>
      <c r="AB58" s="182"/>
      <c r="AC58" s="277"/>
      <c r="AD58" s="108"/>
      <c r="AE58" s="108">
        <f t="shared" si="7"/>
        <v>0</v>
      </c>
      <c r="AF58" s="182"/>
      <c r="AG58" s="182"/>
      <c r="AH58" s="202"/>
      <c r="AI58" s="203"/>
      <c r="AJ58" s="108">
        <f t="shared" si="10"/>
        <v>0</v>
      </c>
      <c r="AK58" s="163"/>
      <c r="AL58" s="258">
        <f t="shared" si="8"/>
        <v>0</v>
      </c>
      <c r="AM58" s="221">
        <v>26</v>
      </c>
      <c r="AN58" s="16"/>
      <c r="AR58" s="2"/>
      <c r="AS58" s="2"/>
      <c r="AT58" s="2"/>
      <c r="AU58" s="2"/>
      <c r="AV58" s="2"/>
      <c r="AY58" s="2"/>
      <c r="AZ58" s="2"/>
      <c r="BA58" s="2"/>
      <c r="BB58" s="2"/>
    </row>
    <row r="59" spans="1:54" ht="18.75" x14ac:dyDescent="0.3">
      <c r="A59" s="280"/>
      <c r="B59" s="135"/>
      <c r="C59" s="135"/>
      <c r="D59" s="135"/>
      <c r="E59" s="135"/>
      <c r="F59" s="135"/>
      <c r="G59" s="135"/>
      <c r="H59" s="135"/>
      <c r="I59" s="135"/>
      <c r="J59" s="135"/>
      <c r="K59" s="135"/>
      <c r="L59" s="135"/>
      <c r="M59" s="135"/>
      <c r="N59" s="135"/>
      <c r="O59" s="135"/>
      <c r="P59" s="135"/>
      <c r="Q59" s="124"/>
      <c r="R59" s="135"/>
      <c r="S59" s="124"/>
      <c r="T59" s="124"/>
      <c r="U59" s="124"/>
      <c r="V59" s="124"/>
      <c r="W59" s="135"/>
      <c r="X59" s="182">
        <v>27</v>
      </c>
      <c r="Y59" s="200"/>
      <c r="Z59" s="201"/>
      <c r="AA59" s="182"/>
      <c r="AB59" s="182"/>
      <c r="AC59" s="277"/>
      <c r="AD59" s="108"/>
      <c r="AE59" s="108">
        <f t="shared" si="7"/>
        <v>0</v>
      </c>
      <c r="AF59" s="182"/>
      <c r="AG59" s="182"/>
      <c r="AH59" s="202"/>
      <c r="AI59" s="203"/>
      <c r="AJ59" s="108">
        <f t="shared" si="10"/>
        <v>0</v>
      </c>
      <c r="AK59" s="163"/>
      <c r="AL59" s="258">
        <f t="shared" si="8"/>
        <v>0</v>
      </c>
      <c r="AM59" s="221">
        <v>27</v>
      </c>
      <c r="AN59" s="16"/>
      <c r="AR59" s="2"/>
      <c r="AS59" s="2"/>
      <c r="AT59" s="2"/>
      <c r="AU59" s="2"/>
      <c r="AV59" s="12"/>
      <c r="AY59" s="2"/>
      <c r="AZ59" s="2"/>
      <c r="BA59" s="2"/>
      <c r="BB59" s="2"/>
    </row>
    <row r="60" spans="1:54" ht="18.75" x14ac:dyDescent="0.3">
      <c r="A60" s="280"/>
      <c r="B60" s="135"/>
      <c r="C60" s="135"/>
      <c r="D60" s="135"/>
      <c r="E60" s="135"/>
      <c r="F60" s="135"/>
      <c r="G60" s="135"/>
      <c r="H60" s="135"/>
      <c r="I60" s="135"/>
      <c r="J60" s="135"/>
      <c r="K60" s="135"/>
      <c r="L60" s="135"/>
      <c r="M60" s="135"/>
      <c r="N60" s="135"/>
      <c r="O60" s="135"/>
      <c r="P60" s="135"/>
      <c r="Q60" s="124"/>
      <c r="R60" s="135"/>
      <c r="S60" s="124"/>
      <c r="T60" s="124"/>
      <c r="U60" s="124"/>
      <c r="V60" s="124"/>
      <c r="W60" s="135"/>
      <c r="X60" s="182">
        <v>28</v>
      </c>
      <c r="Y60" s="200"/>
      <c r="Z60" s="201"/>
      <c r="AA60" s="182"/>
      <c r="AB60" s="227"/>
      <c r="AC60" s="277"/>
      <c r="AD60" s="108"/>
      <c r="AE60" s="108">
        <f t="shared" si="7"/>
        <v>0</v>
      </c>
      <c r="AF60" s="182"/>
      <c r="AG60" s="182"/>
      <c r="AH60" s="202"/>
      <c r="AI60" s="203"/>
      <c r="AJ60" s="108">
        <f t="shared" si="10"/>
        <v>0</v>
      </c>
      <c r="AK60" s="163"/>
      <c r="AL60" s="258">
        <f t="shared" si="8"/>
        <v>0</v>
      </c>
      <c r="AM60" s="221">
        <v>28</v>
      </c>
      <c r="AN60" s="16"/>
      <c r="AR60" s="12"/>
      <c r="AS60" s="2"/>
      <c r="AT60" s="2"/>
      <c r="AU60" s="2"/>
      <c r="AV60" s="12"/>
      <c r="AY60" s="2"/>
      <c r="AZ60" s="2"/>
      <c r="BA60" s="2"/>
      <c r="BB60" s="2"/>
    </row>
    <row r="61" spans="1:54" ht="18.75" x14ac:dyDescent="0.3">
      <c r="A61" s="280"/>
      <c r="B61" s="135"/>
      <c r="C61" s="135"/>
      <c r="D61" s="135"/>
      <c r="E61" s="135"/>
      <c r="F61" s="135"/>
      <c r="G61" s="135"/>
      <c r="H61" s="135"/>
      <c r="I61" s="135"/>
      <c r="J61" s="135"/>
      <c r="K61" s="135"/>
      <c r="L61" s="135"/>
      <c r="M61" s="135"/>
      <c r="N61" s="135"/>
      <c r="O61" s="135"/>
      <c r="P61" s="135"/>
      <c r="Q61" s="124"/>
      <c r="R61" s="135"/>
      <c r="S61" s="124"/>
      <c r="T61" s="124"/>
      <c r="U61" s="124"/>
      <c r="V61" s="124"/>
      <c r="W61" s="135"/>
      <c r="X61" s="182">
        <v>29</v>
      </c>
      <c r="Y61" s="223"/>
      <c r="Z61" s="224"/>
      <c r="AA61" s="208"/>
      <c r="AB61" s="208"/>
      <c r="AC61" s="277"/>
      <c r="AD61" s="210"/>
      <c r="AE61" s="108">
        <f t="shared" si="7"/>
        <v>0</v>
      </c>
      <c r="AF61" s="182"/>
      <c r="AG61" s="182"/>
      <c r="AH61" s="282"/>
      <c r="AI61" s="203"/>
      <c r="AJ61" s="108">
        <f t="shared" si="10"/>
        <v>0</v>
      </c>
      <c r="AK61" s="306"/>
      <c r="AL61" s="258">
        <f t="shared" si="8"/>
        <v>0</v>
      </c>
      <c r="AM61" s="221">
        <v>29</v>
      </c>
      <c r="AN61" s="16"/>
      <c r="AR61" s="12"/>
      <c r="AS61" s="2"/>
      <c r="AT61" s="2"/>
      <c r="AU61" s="2"/>
      <c r="AV61" s="12"/>
    </row>
    <row r="62" spans="1:54" ht="18.75" x14ac:dyDescent="0.3">
      <c r="A62" s="280"/>
      <c r="B62" s="135"/>
      <c r="C62" s="135"/>
      <c r="D62" s="135"/>
      <c r="E62" s="135"/>
      <c r="F62" s="135"/>
      <c r="G62" s="135"/>
      <c r="H62" s="135"/>
      <c r="I62" s="135"/>
      <c r="J62" s="135"/>
      <c r="K62" s="135"/>
      <c r="L62" s="135"/>
      <c r="M62" s="135"/>
      <c r="N62" s="135"/>
      <c r="O62" s="135"/>
      <c r="P62" s="135"/>
      <c r="Q62" s="124"/>
      <c r="R62" s="135"/>
      <c r="S62" s="124"/>
      <c r="T62" s="124"/>
      <c r="U62" s="124"/>
      <c r="V62" s="124"/>
      <c r="W62" s="135"/>
      <c r="X62" s="182">
        <v>30</v>
      </c>
      <c r="Y62" s="223"/>
      <c r="Z62" s="224"/>
      <c r="AA62" s="208"/>
      <c r="AB62" s="208"/>
      <c r="AC62" s="277"/>
      <c r="AD62" s="108"/>
      <c r="AE62" s="108">
        <f t="shared" si="7"/>
        <v>0</v>
      </c>
      <c r="AF62" s="182"/>
      <c r="AG62" s="283"/>
      <c r="AH62" s="284"/>
      <c r="AI62" s="285"/>
      <c r="AJ62" s="286">
        <f t="shared" si="10"/>
        <v>0</v>
      </c>
      <c r="AK62" s="301"/>
      <c r="AL62" s="307">
        <f t="shared" si="8"/>
        <v>0</v>
      </c>
      <c r="AM62" s="221">
        <v>30</v>
      </c>
      <c r="AN62" s="16"/>
      <c r="AR62" s="2"/>
      <c r="AS62" s="2"/>
      <c r="AT62" s="2"/>
      <c r="AU62" s="2"/>
      <c r="AV62" s="12"/>
    </row>
    <row r="63" spans="1:54" ht="18.75" x14ac:dyDescent="0.3">
      <c r="A63" s="280"/>
      <c r="B63" s="135"/>
      <c r="C63" s="135"/>
      <c r="D63" s="135"/>
      <c r="E63" s="135"/>
      <c r="F63" s="135"/>
      <c r="G63" s="135"/>
      <c r="H63" s="135"/>
      <c r="I63" s="135"/>
      <c r="J63" s="135"/>
      <c r="K63" s="135"/>
      <c r="L63" s="135"/>
      <c r="M63" s="135"/>
      <c r="N63" s="135"/>
      <c r="O63" s="135"/>
      <c r="P63" s="135"/>
      <c r="Q63" s="124"/>
      <c r="R63" s="135"/>
      <c r="S63" s="124"/>
      <c r="T63" s="124"/>
      <c r="U63" s="124"/>
      <c r="V63" s="124"/>
      <c r="W63" s="135"/>
      <c r="X63" s="24"/>
      <c r="Y63" s="160"/>
      <c r="Z63" s="161"/>
      <c r="AA63" s="24"/>
      <c r="AB63" s="24"/>
      <c r="AC63" s="277">
        <f>SUM(AC33:AC62)</f>
        <v>0</v>
      </c>
      <c r="AD63" s="287"/>
      <c r="AE63" s="163"/>
      <c r="AF63" s="24"/>
      <c r="AG63" s="288"/>
      <c r="AH63" s="289" t="s">
        <v>75</v>
      </c>
      <c r="AI63" s="290"/>
      <c r="AJ63" s="291">
        <f>SUM(AJ3:AJ62)</f>
        <v>0</v>
      </c>
      <c r="AK63" s="163"/>
      <c r="AL63" s="258">
        <f t="shared" si="8"/>
        <v>0</v>
      </c>
      <c r="AM63" s="38"/>
      <c r="AN63" s="16"/>
      <c r="AR63" s="2"/>
      <c r="AS63" s="2"/>
      <c r="AT63" s="2"/>
      <c r="AU63" s="2"/>
      <c r="AV63" s="12"/>
    </row>
    <row r="64" spans="1:54" ht="18.75" x14ac:dyDescent="0.3">
      <c r="A64" s="280"/>
      <c r="B64" s="135"/>
      <c r="C64" s="135"/>
      <c r="D64" s="135"/>
      <c r="E64" s="135"/>
      <c r="F64" s="135"/>
      <c r="G64" s="135"/>
      <c r="H64" s="135"/>
      <c r="I64" s="135"/>
      <c r="J64" s="135"/>
      <c r="K64" s="135"/>
      <c r="L64" s="135"/>
      <c r="M64" s="135"/>
      <c r="N64" s="135"/>
      <c r="O64" s="135"/>
      <c r="P64" s="135"/>
      <c r="Q64" s="124"/>
      <c r="R64" s="135"/>
      <c r="S64" s="124"/>
      <c r="T64" s="124"/>
      <c r="U64" s="124"/>
      <c r="V64" s="124"/>
      <c r="W64" s="135"/>
      <c r="X64" s="24"/>
      <c r="Y64" s="292"/>
      <c r="Z64" s="293"/>
      <c r="AA64" s="32"/>
      <c r="AB64" s="294"/>
      <c r="AC64" s="295" t="s">
        <v>16</v>
      </c>
      <c r="AD64" s="296">
        <f>SUM(AD33:AD63)</f>
        <v>0</v>
      </c>
      <c r="AE64" s="163"/>
      <c r="AF64" s="24"/>
      <c r="AG64" s="24"/>
      <c r="AH64" s="297"/>
      <c r="AI64" s="165"/>
      <c r="AJ64" s="163"/>
      <c r="AK64" s="163"/>
      <c r="AL64" s="124"/>
      <c r="AM64" s="124"/>
      <c r="AN64" s="36"/>
      <c r="AR64" s="2"/>
      <c r="AS64" s="2"/>
      <c r="AT64" s="2"/>
      <c r="AU64" s="2"/>
      <c r="AV64" s="12"/>
    </row>
    <row r="65" spans="1:55" ht="18.75" x14ac:dyDescent="0.3">
      <c r="A65" s="280"/>
      <c r="B65" s="135"/>
      <c r="C65" s="135"/>
      <c r="D65" s="135"/>
      <c r="E65" s="135"/>
      <c r="F65" s="135"/>
      <c r="G65" s="135"/>
      <c r="H65" s="135"/>
      <c r="I65" s="135"/>
      <c r="J65" s="135"/>
      <c r="K65" s="135"/>
      <c r="L65" s="135"/>
      <c r="M65" s="135"/>
      <c r="N65" s="135"/>
      <c r="O65" s="135"/>
      <c r="P65" s="135"/>
      <c r="Q65" s="124"/>
      <c r="R65" s="135"/>
      <c r="S65" s="124"/>
      <c r="T65" s="124"/>
      <c r="U65" s="124"/>
      <c r="V65" s="124"/>
      <c r="W65" s="135"/>
      <c r="X65" s="24"/>
      <c r="Y65" s="160"/>
      <c r="Z65" s="161"/>
      <c r="AA65" s="24"/>
      <c r="AB65" s="24"/>
      <c r="AC65" s="163"/>
      <c r="AD65" s="163"/>
      <c r="AE65" s="163"/>
      <c r="AF65" s="24"/>
      <c r="AG65" s="24"/>
      <c r="AH65" s="297"/>
      <c r="AI65" s="165"/>
      <c r="AJ65" s="163"/>
      <c r="AK65" s="163"/>
      <c r="AL65" s="24"/>
      <c r="AM65" s="308"/>
      <c r="AN65" s="16"/>
      <c r="AR65" s="2"/>
      <c r="AS65" s="2"/>
      <c r="AT65" s="2"/>
      <c r="AU65" s="2"/>
      <c r="AV65" s="2"/>
    </row>
    <row r="66" spans="1:55" ht="18.75" x14ac:dyDescent="0.3">
      <c r="A66" s="280"/>
      <c r="B66" s="135"/>
      <c r="C66" s="135"/>
      <c r="D66" s="135"/>
      <c r="E66" s="135"/>
      <c r="F66" s="135"/>
      <c r="G66" s="135"/>
      <c r="H66" s="135"/>
      <c r="I66" s="135"/>
      <c r="J66" s="135"/>
      <c r="K66" s="135"/>
      <c r="L66" s="135"/>
      <c r="M66" s="135"/>
      <c r="N66" s="135"/>
      <c r="O66" s="135"/>
      <c r="P66" s="135"/>
      <c r="Q66" s="124"/>
      <c r="R66" s="135"/>
      <c r="S66" s="124"/>
      <c r="T66" s="124"/>
      <c r="U66" s="124"/>
      <c r="V66" s="124"/>
      <c r="W66" s="135"/>
      <c r="X66" s="24"/>
      <c r="Y66" s="160"/>
      <c r="Z66" s="161"/>
      <c r="AA66" s="24"/>
      <c r="AB66" s="24"/>
      <c r="AC66" s="163"/>
      <c r="AD66" s="163"/>
      <c r="AE66" s="163"/>
      <c r="AF66" s="24"/>
      <c r="AG66" s="24"/>
      <c r="AH66" s="297"/>
      <c r="AI66" s="202" t="s">
        <v>76</v>
      </c>
      <c r="AJ66" s="163"/>
      <c r="AK66" s="163"/>
      <c r="AL66" s="24"/>
      <c r="AM66" s="308"/>
      <c r="AN66" s="16"/>
      <c r="AR66" s="2"/>
      <c r="AS66" s="2"/>
      <c r="AT66" s="2"/>
      <c r="AU66" s="2"/>
      <c r="AV66" s="2"/>
    </row>
    <row r="67" spans="1:55" ht="18.75" x14ac:dyDescent="0.3">
      <c r="A67" s="280"/>
      <c r="B67" s="135"/>
      <c r="C67" s="135"/>
      <c r="D67" s="135"/>
      <c r="E67" s="135"/>
      <c r="F67" s="135"/>
      <c r="G67" s="135"/>
      <c r="H67" s="135"/>
      <c r="I67" s="135"/>
      <c r="J67" s="135"/>
      <c r="K67" s="135"/>
      <c r="L67" s="135"/>
      <c r="M67" s="135"/>
      <c r="N67" s="135"/>
      <c r="O67" s="135"/>
      <c r="P67" s="135"/>
      <c r="Q67" s="124"/>
      <c r="R67" s="135"/>
      <c r="S67" s="124"/>
      <c r="T67" s="124"/>
      <c r="U67" s="124"/>
      <c r="V67" s="124"/>
      <c r="W67" s="135"/>
      <c r="X67" s="24"/>
      <c r="Y67" s="160"/>
      <c r="Z67" s="161"/>
      <c r="AA67" s="24"/>
      <c r="AB67" s="24"/>
      <c r="AC67" s="231" t="s">
        <v>16</v>
      </c>
      <c r="AD67" s="231">
        <f>AD30</f>
        <v>0</v>
      </c>
      <c r="AE67" s="163"/>
      <c r="AF67" s="24"/>
      <c r="AG67" s="24"/>
      <c r="AH67" s="297"/>
      <c r="AI67" s="233"/>
      <c r="AJ67" s="291">
        <f>AJ63</f>
        <v>0</v>
      </c>
      <c r="AK67" s="163"/>
      <c r="AL67" s="24"/>
      <c r="AM67" s="308"/>
      <c r="AN67" s="16"/>
      <c r="AR67" s="2"/>
      <c r="AS67" s="2"/>
      <c r="AT67" s="2"/>
      <c r="AU67" s="2"/>
      <c r="AV67" s="2"/>
    </row>
    <row r="68" spans="1:55" ht="18.75" x14ac:dyDescent="0.3">
      <c r="A68" s="280"/>
      <c r="B68" s="135"/>
      <c r="C68" s="135"/>
      <c r="D68" s="135"/>
      <c r="E68" s="135"/>
      <c r="F68" s="135"/>
      <c r="G68" s="135"/>
      <c r="H68" s="135"/>
      <c r="I68" s="135"/>
      <c r="J68" s="135"/>
      <c r="K68" s="135"/>
      <c r="L68" s="135"/>
      <c r="M68" s="135"/>
      <c r="N68" s="135"/>
      <c r="O68" s="135"/>
      <c r="P68" s="135"/>
      <c r="Q68" s="124"/>
      <c r="R68" s="135"/>
      <c r="S68" s="124"/>
      <c r="T68" s="124"/>
      <c r="U68" s="124"/>
      <c r="V68" s="124"/>
      <c r="W68" s="135"/>
      <c r="X68" s="24"/>
      <c r="Y68" s="160"/>
      <c r="Z68" s="161"/>
      <c r="AA68" s="24"/>
      <c r="AB68" s="24"/>
      <c r="AC68" s="295" t="s">
        <v>16</v>
      </c>
      <c r="AD68" s="296">
        <f>AD64</f>
        <v>0</v>
      </c>
      <c r="AE68" s="163"/>
      <c r="AF68" s="24"/>
      <c r="AG68" s="24"/>
      <c r="AH68" s="297"/>
      <c r="AI68" s="298" t="s">
        <v>32</v>
      </c>
      <c r="AJ68" s="295">
        <f>'JANV 2026'!AJ69</f>
        <v>0</v>
      </c>
      <c r="AK68" s="163"/>
      <c r="AL68" s="24"/>
      <c r="AM68" s="308"/>
      <c r="AN68" s="16"/>
      <c r="AR68" s="2"/>
      <c r="AS68" s="2"/>
      <c r="AT68" s="2"/>
      <c r="AU68" s="2"/>
      <c r="AV68" s="2"/>
      <c r="BC68" s="20"/>
    </row>
    <row r="69" spans="1:55" ht="18.75" x14ac:dyDescent="0.3">
      <c r="A69" s="280"/>
      <c r="B69" s="135"/>
      <c r="C69" s="135"/>
      <c r="D69" s="135"/>
      <c r="E69" s="135"/>
      <c r="F69" s="135"/>
      <c r="G69" s="135"/>
      <c r="H69" s="135"/>
      <c r="I69" s="135"/>
      <c r="J69" s="135"/>
      <c r="K69" s="135"/>
      <c r="L69" s="135"/>
      <c r="M69" s="135"/>
      <c r="N69" s="135"/>
      <c r="O69" s="135"/>
      <c r="P69" s="135"/>
      <c r="Q69" s="124"/>
      <c r="R69" s="135"/>
      <c r="S69" s="124"/>
      <c r="T69" s="124"/>
      <c r="U69" s="124"/>
      <c r="V69" s="124"/>
      <c r="W69" s="135"/>
      <c r="X69" s="24"/>
      <c r="Y69" s="160"/>
      <c r="Z69" s="161"/>
      <c r="AA69" s="24"/>
      <c r="AB69" s="24"/>
      <c r="AC69" s="299" t="s">
        <v>74</v>
      </c>
      <c r="AD69" s="299">
        <f>SUM(AD67:AD68)</f>
        <v>0</v>
      </c>
      <c r="AE69" s="163"/>
      <c r="AF69" s="24"/>
      <c r="AG69" s="24"/>
      <c r="AH69" s="297"/>
      <c r="AI69" s="298" t="s">
        <v>33</v>
      </c>
      <c r="AJ69" s="300">
        <f>SUM(AJ67:AJ68)</f>
        <v>0</v>
      </c>
      <c r="AK69" s="163"/>
      <c r="AL69" s="24"/>
      <c r="AM69" s="308"/>
      <c r="AN69" s="16"/>
      <c r="AR69" s="2"/>
      <c r="AS69" s="2"/>
      <c r="AT69" s="2"/>
      <c r="AU69" s="2"/>
      <c r="AV69" s="2"/>
      <c r="BC69" s="20"/>
    </row>
    <row r="70" spans="1:55" ht="18.75" x14ac:dyDescent="0.3">
      <c r="A70" s="1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X70" s="16"/>
      <c r="Y70" s="41"/>
      <c r="Z70" s="42"/>
      <c r="AA70" s="20"/>
      <c r="AB70" s="44"/>
      <c r="AC70" s="19"/>
      <c r="AD70" s="19"/>
      <c r="AE70" s="19"/>
      <c r="AF70" s="20"/>
      <c r="AG70" s="20"/>
      <c r="AH70" s="43"/>
      <c r="AI70" s="21"/>
      <c r="AJ70" s="22"/>
      <c r="AK70" s="17"/>
      <c r="AL70" s="16"/>
      <c r="AM70" s="39"/>
      <c r="AN70" s="22"/>
      <c r="AR70" s="2"/>
      <c r="AS70" s="2"/>
      <c r="AT70" s="2"/>
      <c r="AU70" s="2"/>
      <c r="AV70" s="2"/>
    </row>
    <row r="71" spans="1:55" ht="18.75" x14ac:dyDescent="0.3">
      <c r="A71" s="1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X71" s="16"/>
      <c r="Y71" s="45"/>
      <c r="Z71" s="46"/>
      <c r="AA71" s="47"/>
      <c r="AB71" s="47"/>
      <c r="AC71" s="48"/>
      <c r="AD71" s="48"/>
      <c r="AE71" s="19"/>
      <c r="AF71" s="20"/>
      <c r="AG71" s="20"/>
      <c r="AH71" s="43"/>
      <c r="AK71" s="17"/>
      <c r="AL71" s="16"/>
      <c r="AM71" s="39"/>
      <c r="AN71" s="22"/>
      <c r="BA71" s="7"/>
    </row>
    <row r="72" spans="1:55" ht="18.75" x14ac:dyDescent="0.3">
      <c r="A72" s="1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X72" s="16"/>
      <c r="Y72" s="45"/>
      <c r="Z72" s="46"/>
      <c r="AA72" s="47"/>
      <c r="AB72" s="47"/>
      <c r="AC72" s="19"/>
      <c r="AD72" s="19"/>
      <c r="AE72" s="19"/>
      <c r="AF72" s="20"/>
      <c r="AG72" s="20"/>
      <c r="AH72" s="43"/>
      <c r="AK72" s="17"/>
      <c r="AL72" s="16"/>
      <c r="AM72" s="39"/>
      <c r="AN72" s="22"/>
      <c r="AY72" s="7"/>
      <c r="BA72" s="7"/>
    </row>
    <row r="73" spans="1:55" ht="18.75" x14ac:dyDescent="0.3">
      <c r="A73" s="1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X73" s="16"/>
      <c r="Y73" s="41"/>
      <c r="Z73" s="42"/>
      <c r="AA73" s="20"/>
      <c r="AB73" s="20"/>
      <c r="AC73" s="19"/>
      <c r="AD73" s="19"/>
      <c r="AE73" s="19"/>
      <c r="AF73" s="20"/>
      <c r="AG73" s="20"/>
      <c r="AH73" s="49"/>
      <c r="AK73" s="17"/>
      <c r="AL73" s="16"/>
      <c r="AM73" s="40" t="s">
        <v>34</v>
      </c>
      <c r="AN73" s="16"/>
      <c r="AY73" s="7"/>
      <c r="BA73" s="7"/>
    </row>
    <row r="74" spans="1:55" x14ac:dyDescent="0.2">
      <c r="A74" s="1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AY74" s="2"/>
    </row>
    <row r="75" spans="1:55" x14ac:dyDescent="0.2">
      <c r="A75" s="1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AR75" s="2"/>
      <c r="AS75" s="2"/>
      <c r="AT75" s="2"/>
      <c r="AU75" s="2"/>
      <c r="AV75" s="2"/>
      <c r="AY75" s="2"/>
      <c r="AZ75" s="2"/>
      <c r="BA75" s="2"/>
      <c r="BB75" s="2"/>
    </row>
    <row r="76" spans="1:55" x14ac:dyDescent="0.2">
      <c r="A76" s="1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AR76" s="92"/>
      <c r="AS76" s="11"/>
      <c r="AT76" s="11"/>
      <c r="AU76" s="11"/>
      <c r="AV76" s="2"/>
      <c r="AY76" s="2"/>
      <c r="AZ76" s="2"/>
      <c r="BA76" s="12"/>
      <c r="BB76" s="2"/>
    </row>
    <row r="77" spans="1:55" x14ac:dyDescent="0.2">
      <c r="A77" s="12"/>
      <c r="B77" s="2"/>
      <c r="L77" s="2"/>
      <c r="M77" s="2"/>
      <c r="N77" s="2"/>
      <c r="O77" s="2"/>
      <c r="AR77" s="92"/>
      <c r="AS77" s="11"/>
      <c r="AT77" s="11"/>
      <c r="AU77" s="11"/>
      <c r="AV77" s="2"/>
      <c r="AY77" s="12"/>
      <c r="AZ77" s="2"/>
      <c r="BA77" s="12"/>
      <c r="BB77" s="2"/>
    </row>
    <row r="78" spans="1:55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AR78" s="92"/>
      <c r="AS78" s="11"/>
      <c r="AT78" s="11"/>
      <c r="AU78" s="11"/>
      <c r="AV78" s="2"/>
      <c r="AY78" s="12"/>
      <c r="AZ78" s="2"/>
      <c r="BA78" s="12"/>
      <c r="BB78" s="2"/>
    </row>
    <row r="79" spans="1:55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AR79" s="92"/>
      <c r="AS79" s="2"/>
      <c r="AT79" s="2"/>
      <c r="AU79" s="2"/>
      <c r="AV79" s="2"/>
      <c r="AY79" s="2"/>
      <c r="AZ79" s="2"/>
      <c r="BA79" s="12"/>
      <c r="BB79" s="2"/>
    </row>
    <row r="80" spans="1:55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AR80" s="2"/>
      <c r="AS80" s="11"/>
      <c r="AT80" s="11"/>
      <c r="AU80" s="11"/>
      <c r="AV80" s="2"/>
      <c r="AY80" s="2"/>
      <c r="AZ80" s="2"/>
      <c r="BA80" s="2"/>
      <c r="BB80" s="2"/>
    </row>
    <row r="81" spans="1:54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AR81" s="92"/>
      <c r="AS81" s="2"/>
      <c r="AT81" s="2"/>
      <c r="AU81" s="2"/>
      <c r="AV81" s="2"/>
      <c r="AY81" s="2"/>
      <c r="AZ81" s="2"/>
      <c r="BA81" s="2"/>
      <c r="BB81" s="2"/>
    </row>
    <row r="82" spans="1:54" x14ac:dyDescent="0.2">
      <c r="A82" s="2"/>
      <c r="B82" s="2"/>
      <c r="C82" s="2"/>
      <c r="D82" s="2"/>
      <c r="E82" s="2"/>
      <c r="F82" s="2"/>
      <c r="G82" s="2"/>
      <c r="H82" s="2"/>
      <c r="I82" s="2"/>
      <c r="J82" s="13"/>
      <c r="K82" s="2"/>
      <c r="L82" s="2"/>
      <c r="M82" s="2"/>
      <c r="N82" s="2"/>
      <c r="O82" s="2"/>
      <c r="P82" s="2"/>
      <c r="AR82" s="2"/>
      <c r="AS82" s="2"/>
      <c r="AT82" s="2"/>
      <c r="AU82" s="2"/>
      <c r="AV82" s="2"/>
      <c r="AY82" s="2"/>
      <c r="AZ82" s="2"/>
      <c r="BA82" s="2"/>
      <c r="BB82" s="2"/>
    </row>
    <row r="83" spans="1:54" x14ac:dyDescent="0.2">
      <c r="J83" s="13"/>
      <c r="K83" s="2"/>
      <c r="AR83" s="2"/>
      <c r="AS83" s="2"/>
      <c r="AT83" s="2"/>
      <c r="AU83" s="2"/>
      <c r="AV83" s="12"/>
      <c r="AY83" s="2"/>
      <c r="AZ83" s="2"/>
      <c r="BA83" s="2"/>
      <c r="BB83" s="2"/>
    </row>
    <row r="84" spans="1:54" x14ac:dyDescent="0.2">
      <c r="AR84" s="12"/>
      <c r="AS84" s="2"/>
      <c r="AT84" s="2"/>
      <c r="AU84" s="2"/>
      <c r="AV84" s="12"/>
      <c r="AY84" s="2"/>
      <c r="AZ84" s="2"/>
      <c r="BA84" s="2"/>
      <c r="BB84" s="2"/>
    </row>
    <row r="85" spans="1:54" x14ac:dyDescent="0.2">
      <c r="A85" s="2"/>
      <c r="B85" s="2"/>
      <c r="AR85" s="12"/>
      <c r="AS85" s="2"/>
      <c r="AT85" s="2"/>
      <c r="AU85" s="2"/>
      <c r="AV85" s="12"/>
    </row>
    <row r="86" spans="1:54" x14ac:dyDescent="0.2">
      <c r="A86" s="2"/>
      <c r="B86" s="2"/>
      <c r="C86" s="2"/>
      <c r="D86" s="2"/>
      <c r="E86" s="2"/>
      <c r="F86" s="6"/>
      <c r="I86" s="6"/>
      <c r="AR86" s="2"/>
      <c r="AS86" s="2"/>
      <c r="AT86" s="2"/>
      <c r="AU86" s="2"/>
      <c r="AV86" s="12"/>
    </row>
    <row r="87" spans="1:54" x14ac:dyDescent="0.2">
      <c r="C87" s="5"/>
      <c r="F87" s="6"/>
      <c r="AR87" s="2"/>
      <c r="AS87" s="2"/>
      <c r="AT87" s="2"/>
      <c r="AU87" s="2"/>
      <c r="AV87" s="12"/>
    </row>
    <row r="88" spans="1:54" x14ac:dyDescent="0.2">
      <c r="C88" s="5"/>
      <c r="AR88" s="2"/>
      <c r="AS88" s="2"/>
      <c r="AT88" s="2"/>
      <c r="AU88" s="2"/>
      <c r="AV88" s="12"/>
    </row>
    <row r="89" spans="1:54" x14ac:dyDescent="0.2">
      <c r="C89" s="5"/>
      <c r="AR89" s="2"/>
      <c r="AS89" s="2"/>
      <c r="AT89" s="2"/>
      <c r="AU89" s="2"/>
      <c r="AV89" s="2"/>
    </row>
    <row r="90" spans="1:54" x14ac:dyDescent="0.2">
      <c r="C90" s="5"/>
      <c r="AR90" s="2"/>
      <c r="AS90" s="2"/>
      <c r="AT90" s="2"/>
      <c r="AU90" s="2"/>
      <c r="AV90" s="2"/>
    </row>
    <row r="91" spans="1:54" x14ac:dyDescent="0.2">
      <c r="C91" s="5"/>
      <c r="AR91" s="2"/>
      <c r="AS91" s="2"/>
      <c r="AT91" s="2"/>
      <c r="AU91" s="2"/>
      <c r="AV91" s="2"/>
    </row>
    <row r="92" spans="1:54" x14ac:dyDescent="0.2">
      <c r="C92" s="5"/>
      <c r="AR92" s="2"/>
      <c r="AS92" s="2"/>
      <c r="AT92" s="2"/>
      <c r="AU92" s="2"/>
      <c r="AV92" s="2"/>
    </row>
    <row r="93" spans="1:54" x14ac:dyDescent="0.2">
      <c r="C93" s="5"/>
      <c r="AR93" s="2"/>
      <c r="AS93" s="2"/>
      <c r="AT93" s="2"/>
      <c r="AU93" s="2"/>
      <c r="AV93" s="2"/>
    </row>
    <row r="94" spans="1:54" x14ac:dyDescent="0.2">
      <c r="C94" s="5"/>
      <c r="AR94" s="2"/>
      <c r="AS94" s="11"/>
      <c r="AT94" s="11"/>
      <c r="AU94" s="11"/>
      <c r="AV94" s="2"/>
    </row>
    <row r="95" spans="1:54" x14ac:dyDescent="0.2">
      <c r="C95" s="5"/>
    </row>
    <row r="96" spans="1:54" x14ac:dyDescent="0.2">
      <c r="C96" s="5"/>
    </row>
    <row r="97" spans="3:3" x14ac:dyDescent="0.2">
      <c r="C97" s="5"/>
    </row>
    <row r="98" spans="3:3" x14ac:dyDescent="0.2">
      <c r="C98" s="5"/>
    </row>
    <row r="99" spans="3:3" x14ac:dyDescent="0.2">
      <c r="C99" s="5"/>
    </row>
    <row r="100" spans="3:3" x14ac:dyDescent="0.2">
      <c r="C100" s="5"/>
    </row>
    <row r="101" spans="3:3" x14ac:dyDescent="0.2">
      <c r="C101" s="5"/>
    </row>
    <row r="102" spans="3:3" x14ac:dyDescent="0.2">
      <c r="C102" s="5"/>
    </row>
    <row r="103" spans="3:3" x14ac:dyDescent="0.2">
      <c r="C103" s="5"/>
    </row>
    <row r="104" spans="3:3" x14ac:dyDescent="0.2">
      <c r="C104" s="5"/>
    </row>
    <row r="105" spans="3:3" x14ac:dyDescent="0.2">
      <c r="C105" s="5"/>
    </row>
    <row r="106" spans="3:3" x14ac:dyDescent="0.2">
      <c r="C106" s="5"/>
    </row>
    <row r="107" spans="3:3" x14ac:dyDescent="0.2">
      <c r="C107" s="5"/>
    </row>
    <row r="108" spans="3:3" x14ac:dyDescent="0.2">
      <c r="C108" s="5"/>
    </row>
    <row r="109" spans="3:3" x14ac:dyDescent="0.2">
      <c r="C109" s="5"/>
    </row>
    <row r="110" spans="3:3" x14ac:dyDescent="0.2">
      <c r="C110" s="5"/>
    </row>
    <row r="111" spans="3:3" x14ac:dyDescent="0.2">
      <c r="C111" s="5"/>
    </row>
    <row r="112" spans="3:3" x14ac:dyDescent="0.2">
      <c r="C112" s="5"/>
    </row>
    <row r="113" spans="3:3" x14ac:dyDescent="0.2">
      <c r="C113" s="5"/>
    </row>
    <row r="114" spans="3:3" x14ac:dyDescent="0.2">
      <c r="C114" s="5"/>
    </row>
    <row r="115" spans="3:3" x14ac:dyDescent="0.2">
      <c r="C115" s="5"/>
    </row>
    <row r="116" spans="3:3" x14ac:dyDescent="0.2">
      <c r="C116" s="5"/>
    </row>
    <row r="117" spans="3:3" x14ac:dyDescent="0.2">
      <c r="C117" s="5"/>
    </row>
  </sheetData>
  <pageMargins left="0.25" right="0.25" top="0.75" bottom="0.75" header="0.3" footer="0.3"/>
  <pageSetup paperSize="9" scale="83" fitToHeight="0" orientation="landscape" horizontalDpi="4294967292" verticalDpi="4294967292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C889A-9DA1-46FF-B5ED-873223D0A023}">
  <sheetPr published="0">
    <pageSetUpPr fitToPage="1"/>
  </sheetPr>
  <dimension ref="A1:BE117"/>
  <sheetViews>
    <sheetView topLeftCell="I4" zoomScale="70" zoomScaleNormal="70" zoomScalePageLayoutView="85" workbookViewId="0">
      <selection activeCell="AF33" sqref="AF33:AF36"/>
    </sheetView>
  </sheetViews>
  <sheetFormatPr baseColWidth="10" defaultColWidth="11" defaultRowHeight="12.75" x14ac:dyDescent="0.2"/>
  <cols>
    <col min="1" max="1" width="11.25" bestFit="1" customWidth="1"/>
    <col min="2" max="2" width="9.75" customWidth="1"/>
    <col min="3" max="3" width="11.375" customWidth="1"/>
    <col min="4" max="4" width="8.25" customWidth="1"/>
    <col min="5" max="5" width="9.375" customWidth="1"/>
    <col min="6" max="6" width="11.25" customWidth="1"/>
    <col min="7" max="7" width="10.375" customWidth="1"/>
    <col min="8" max="8" width="9.375" customWidth="1"/>
    <col min="9" max="9" width="6.375" customWidth="1"/>
    <col min="10" max="10" width="8.375" customWidth="1"/>
    <col min="11" max="11" width="8.625" customWidth="1"/>
    <col min="12" max="12" width="7" customWidth="1"/>
    <col min="13" max="13" width="8.875" customWidth="1"/>
    <col min="14" max="14" width="8.25" customWidth="1"/>
    <col min="15" max="15" width="10.25" bestFit="1" customWidth="1"/>
    <col min="16" max="16" width="17.25" bestFit="1" customWidth="1"/>
    <col min="17" max="17" width="39.125" customWidth="1"/>
    <col min="18" max="18" width="11" style="2"/>
    <col min="19" max="19" width="8" customWidth="1"/>
    <col min="20" max="20" width="12.375" customWidth="1"/>
    <col min="21" max="21" width="2.625" customWidth="1"/>
    <col min="22" max="22" width="33.75" customWidth="1"/>
    <col min="23" max="23" width="9.375" style="2" customWidth="1"/>
    <col min="24" max="24" width="9.25" customWidth="1"/>
    <col min="25" max="25" width="15" bestFit="1" customWidth="1"/>
    <col min="26" max="26" width="10.375" customWidth="1"/>
    <col min="27" max="27" width="14.5" bestFit="1" customWidth="1"/>
    <col min="28" max="28" width="11.375" customWidth="1"/>
    <col min="29" max="29" width="11.25" bestFit="1" customWidth="1"/>
    <col min="30" max="30" width="8.75" customWidth="1"/>
    <col min="31" max="31" width="12.875" customWidth="1"/>
    <col min="32" max="32" width="13.875" bestFit="1" customWidth="1"/>
    <col min="33" max="33" width="12.375" customWidth="1"/>
    <col min="34" max="34" width="9.25" customWidth="1"/>
    <col min="35" max="35" width="16.75" bestFit="1" customWidth="1"/>
    <col min="36" max="36" width="9.5" bestFit="1" customWidth="1"/>
    <col min="37" max="37" width="9.875" customWidth="1"/>
    <col min="38" max="38" width="10.75" customWidth="1"/>
  </cols>
  <sheetData>
    <row r="1" spans="1:57" ht="19.5" thickBot="1" x14ac:dyDescent="0.35">
      <c r="A1" s="123">
        <v>44804</v>
      </c>
      <c r="B1" s="124"/>
      <c r="C1" s="125" t="s">
        <v>22</v>
      </c>
      <c r="D1" s="125"/>
      <c r="E1" s="125"/>
      <c r="F1" s="126"/>
      <c r="G1" s="127" t="s">
        <v>23</v>
      </c>
      <c r="H1" s="127"/>
      <c r="I1" s="127"/>
      <c r="J1" s="127"/>
      <c r="K1" s="127"/>
      <c r="L1" s="128"/>
      <c r="M1" s="129" t="s">
        <v>6</v>
      </c>
      <c r="N1" s="129"/>
      <c r="O1" s="129"/>
      <c r="P1" s="130" t="s">
        <v>19</v>
      </c>
      <c r="Q1" s="131" t="s">
        <v>11</v>
      </c>
      <c r="R1" s="132" t="s">
        <v>12</v>
      </c>
      <c r="S1" s="133" t="s">
        <v>0</v>
      </c>
      <c r="T1" s="134" t="s">
        <v>13</v>
      </c>
      <c r="U1" s="124"/>
      <c r="V1" s="124"/>
      <c r="W1" s="135"/>
      <c r="X1" s="24"/>
      <c r="Y1" s="136" t="s">
        <v>25</v>
      </c>
      <c r="Z1" s="137" t="s">
        <v>5</v>
      </c>
      <c r="AA1" s="138" t="s">
        <v>26</v>
      </c>
      <c r="AB1" s="138" t="s">
        <v>27</v>
      </c>
      <c r="AC1" s="139" t="s">
        <v>15</v>
      </c>
      <c r="AD1" s="139" t="s">
        <v>16</v>
      </c>
      <c r="AE1" s="139" t="s">
        <v>12</v>
      </c>
      <c r="AF1" s="138" t="s">
        <v>28</v>
      </c>
      <c r="AG1" s="138" t="s">
        <v>29</v>
      </c>
      <c r="AH1" s="140" t="s">
        <v>5</v>
      </c>
      <c r="AI1" s="141" t="s">
        <v>30</v>
      </c>
      <c r="AJ1" s="24"/>
      <c r="AK1" s="301"/>
      <c r="AL1" s="24"/>
      <c r="AM1" s="302"/>
      <c r="AN1" s="16"/>
    </row>
    <row r="2" spans="1:57" s="2" customFormat="1" ht="19.5" thickBot="1" x14ac:dyDescent="0.35">
      <c r="A2" s="142" t="s">
        <v>5</v>
      </c>
      <c r="B2" s="143" t="s">
        <v>20</v>
      </c>
      <c r="C2" s="144">
        <v>6</v>
      </c>
      <c r="D2" s="145">
        <v>12</v>
      </c>
      <c r="E2" s="144">
        <v>21</v>
      </c>
      <c r="F2" s="146" t="s">
        <v>0</v>
      </c>
      <c r="G2" s="147" t="s">
        <v>24</v>
      </c>
      <c r="H2" s="148" t="s">
        <v>1</v>
      </c>
      <c r="I2" s="147" t="s">
        <v>21</v>
      </c>
      <c r="J2" s="147" t="s">
        <v>81</v>
      </c>
      <c r="K2" s="149" t="s">
        <v>2</v>
      </c>
      <c r="L2" s="150" t="s">
        <v>8</v>
      </c>
      <c r="M2" s="151" t="s">
        <v>7</v>
      </c>
      <c r="N2" s="152" t="s">
        <v>4</v>
      </c>
      <c r="O2" s="153" t="s">
        <v>3</v>
      </c>
      <c r="P2" s="154">
        <f>'AOUT 2026'!P33</f>
        <v>268.89999999999998</v>
      </c>
      <c r="Q2" s="155"/>
      <c r="R2" s="156"/>
      <c r="S2" s="157"/>
      <c r="T2" s="158"/>
      <c r="U2" s="135"/>
      <c r="V2" s="159"/>
      <c r="W2" s="135"/>
      <c r="X2" s="24"/>
      <c r="Y2" s="160"/>
      <c r="Z2" s="161"/>
      <c r="AA2" s="24"/>
      <c r="AB2" s="162">
        <v>44804</v>
      </c>
      <c r="AC2" s="163"/>
      <c r="AD2" s="163"/>
      <c r="AE2" s="163"/>
      <c r="AF2" s="24"/>
      <c r="AG2" s="24"/>
      <c r="AH2" s="164"/>
      <c r="AI2" s="165"/>
      <c r="AJ2" s="24"/>
      <c r="AK2" s="163"/>
      <c r="AL2" s="24"/>
      <c r="AM2" s="302"/>
      <c r="AN2" s="16"/>
      <c r="AO2"/>
      <c r="AP2"/>
      <c r="AQ2" s="100"/>
      <c r="AR2" s="100"/>
      <c r="AS2" s="100"/>
      <c r="AT2" s="100"/>
      <c r="AU2" s="100"/>
      <c r="AV2" s="100"/>
      <c r="AW2" s="100"/>
      <c r="AX2"/>
      <c r="AZ2"/>
      <c r="BA2"/>
      <c r="BB2"/>
      <c r="BC2" s="20"/>
      <c r="BE2"/>
    </row>
    <row r="3" spans="1:57" ht="16.5" thickBot="1" x14ac:dyDescent="0.3">
      <c r="A3" s="166">
        <v>44804</v>
      </c>
      <c r="B3" s="167"/>
      <c r="C3" s="168"/>
      <c r="D3" s="168"/>
      <c r="E3" s="169"/>
      <c r="F3" s="170">
        <f>SUM(B3:E3)</f>
        <v>0</v>
      </c>
      <c r="G3" s="171">
        <f>F3</f>
        <v>0</v>
      </c>
      <c r="H3" s="168"/>
      <c r="I3" s="168"/>
      <c r="J3" s="169"/>
      <c r="K3" s="172">
        <f t="shared" ref="K3:K33" si="0">SUM(F3-H3-J3-I3)</f>
        <v>0</v>
      </c>
      <c r="L3" s="173">
        <f t="shared" ref="L3:L33" si="1">SUM(F3-H3-J3-I3)</f>
        <v>0</v>
      </c>
      <c r="M3" s="174"/>
      <c r="N3" s="175"/>
      <c r="O3" s="176">
        <f>SUM(L3-M3-N3+P2)</f>
        <v>268.89999999999998</v>
      </c>
      <c r="P3" s="177"/>
      <c r="Q3" s="178"/>
      <c r="R3" s="179"/>
      <c r="S3" s="180"/>
      <c r="T3" s="181"/>
      <c r="U3" s="124"/>
      <c r="V3" s="124"/>
      <c r="W3" s="135"/>
      <c r="X3" s="182">
        <v>1</v>
      </c>
      <c r="Y3" s="310"/>
      <c r="Z3" s="311"/>
      <c r="AA3" s="312"/>
      <c r="AB3" s="312"/>
      <c r="AC3" s="313"/>
      <c r="AD3" s="313"/>
      <c r="AE3" s="314">
        <f t="shared" ref="AE3:AE29" si="2">SUM(AC3:AD3)</f>
        <v>0</v>
      </c>
      <c r="AF3" s="312"/>
      <c r="AG3" s="312"/>
      <c r="AH3" s="315"/>
      <c r="AI3" s="316"/>
      <c r="AJ3" s="314">
        <v>0</v>
      </c>
      <c r="AK3" s="23"/>
      <c r="AL3" s="24"/>
      <c r="AM3" s="302"/>
      <c r="AN3" s="24"/>
      <c r="AQ3" s="100"/>
      <c r="AR3" s="59"/>
      <c r="AS3" s="59"/>
      <c r="AT3" s="59"/>
      <c r="AU3" s="59"/>
      <c r="AV3" s="59"/>
      <c r="AW3" s="100"/>
      <c r="AY3" s="2"/>
      <c r="AZ3" s="2"/>
      <c r="BA3" s="2"/>
      <c r="BB3" s="2"/>
      <c r="BC3" s="20"/>
      <c r="BD3" s="2"/>
    </row>
    <row r="4" spans="1:57" ht="16.5" thickBot="1" x14ac:dyDescent="0.3">
      <c r="A4" s="166">
        <v>44805</v>
      </c>
      <c r="B4" s="190"/>
      <c r="C4" s="179"/>
      <c r="D4" s="179"/>
      <c r="E4" s="175"/>
      <c r="F4" s="170">
        <f t="shared" ref="F4:F33" si="3">SUM(B4:E4)</f>
        <v>0</v>
      </c>
      <c r="G4" s="171">
        <f t="shared" ref="G4:G33" si="4">F4</f>
        <v>0</v>
      </c>
      <c r="H4" s="179"/>
      <c r="I4" s="191"/>
      <c r="J4" s="175"/>
      <c r="K4" s="192">
        <f t="shared" si="0"/>
        <v>0</v>
      </c>
      <c r="L4" s="193">
        <f t="shared" si="1"/>
        <v>0</v>
      </c>
      <c r="M4" s="174"/>
      <c r="N4" s="194"/>
      <c r="O4" s="195">
        <f>SUM(L4-M4-N4+O3+P4)</f>
        <v>268.89999999999998</v>
      </c>
      <c r="P4" s="196"/>
      <c r="Q4" s="197"/>
      <c r="R4" s="179"/>
      <c r="S4" s="198"/>
      <c r="T4" s="199"/>
      <c r="U4" s="124"/>
      <c r="V4" s="124"/>
      <c r="W4" s="135"/>
      <c r="X4" s="182">
        <v>2</v>
      </c>
      <c r="Y4" s="317"/>
      <c r="Z4" s="318"/>
      <c r="AA4" s="319"/>
      <c r="AB4" s="319"/>
      <c r="AC4" s="314"/>
      <c r="AD4" s="314"/>
      <c r="AE4" s="314">
        <f t="shared" si="2"/>
        <v>0</v>
      </c>
      <c r="AF4" s="319"/>
      <c r="AG4" s="319"/>
      <c r="AH4" s="315"/>
      <c r="AI4" s="316"/>
      <c r="AJ4" s="314">
        <f>AE4</f>
        <v>0</v>
      </c>
      <c r="AK4" s="25"/>
      <c r="AL4" s="124"/>
      <c r="AM4" s="124"/>
      <c r="AN4" s="28"/>
      <c r="AQ4" s="100"/>
      <c r="AR4" s="70"/>
      <c r="AS4" s="71"/>
      <c r="AT4" s="71"/>
      <c r="AU4" s="71"/>
      <c r="AV4" s="59"/>
      <c r="AW4" s="100"/>
      <c r="AY4" s="2"/>
      <c r="AZ4" s="2"/>
      <c r="BA4" s="12"/>
      <c r="BB4" s="2"/>
    </row>
    <row r="5" spans="1:57" ht="16.5" thickBot="1" x14ac:dyDescent="0.3">
      <c r="A5" s="166">
        <v>44806</v>
      </c>
      <c r="B5" s="190"/>
      <c r="C5" s="179"/>
      <c r="D5" s="179"/>
      <c r="E5" s="175"/>
      <c r="F5" s="170">
        <f t="shared" si="3"/>
        <v>0</v>
      </c>
      <c r="G5" s="171">
        <f t="shared" si="4"/>
        <v>0</v>
      </c>
      <c r="H5" s="179"/>
      <c r="I5" s="191"/>
      <c r="J5" s="175"/>
      <c r="K5" s="192">
        <f t="shared" si="0"/>
        <v>0</v>
      </c>
      <c r="L5" s="193">
        <f t="shared" si="1"/>
        <v>0</v>
      </c>
      <c r="M5" s="174"/>
      <c r="N5" s="194"/>
      <c r="O5" s="195">
        <f>SUM(L5-M5-N5+O4+P5)</f>
        <v>268.89999999999998</v>
      </c>
      <c r="P5" s="196"/>
      <c r="Q5" s="178"/>
      <c r="R5" s="179"/>
      <c r="S5" s="180"/>
      <c r="T5" s="181"/>
      <c r="U5" s="124"/>
      <c r="V5" s="124"/>
      <c r="W5" s="135"/>
      <c r="X5" s="182">
        <v>3</v>
      </c>
      <c r="Y5" s="317"/>
      <c r="Z5" s="318"/>
      <c r="AA5" s="319"/>
      <c r="AB5" s="319"/>
      <c r="AC5" s="313"/>
      <c r="AD5" s="313"/>
      <c r="AE5" s="314">
        <f t="shared" si="2"/>
        <v>0</v>
      </c>
      <c r="AF5" s="319"/>
      <c r="AG5" s="319"/>
      <c r="AH5" s="315"/>
      <c r="AI5" s="316"/>
      <c r="AJ5" s="314">
        <v>0</v>
      </c>
      <c r="AK5" s="25"/>
      <c r="AL5" s="124"/>
      <c r="AM5" s="124"/>
      <c r="AN5" s="32"/>
      <c r="AQ5" s="100"/>
      <c r="AR5" s="70"/>
      <c r="AS5" s="71"/>
      <c r="AT5" s="71"/>
      <c r="AU5" s="71"/>
      <c r="AV5" s="59"/>
      <c r="AW5" s="100"/>
      <c r="AY5" s="12"/>
      <c r="AZ5" s="2"/>
      <c r="BA5" s="12"/>
      <c r="BB5" s="2"/>
    </row>
    <row r="6" spans="1:57" ht="19.5" thickBot="1" x14ac:dyDescent="0.35">
      <c r="A6" s="166">
        <v>44807</v>
      </c>
      <c r="B6" s="190"/>
      <c r="C6" s="179"/>
      <c r="D6" s="179"/>
      <c r="E6" s="175"/>
      <c r="F6" s="170">
        <f t="shared" si="3"/>
        <v>0</v>
      </c>
      <c r="G6" s="171">
        <f t="shared" si="4"/>
        <v>0</v>
      </c>
      <c r="H6" s="179"/>
      <c r="I6" s="191"/>
      <c r="J6" s="175"/>
      <c r="K6" s="192">
        <f t="shared" si="0"/>
        <v>0</v>
      </c>
      <c r="L6" s="193">
        <f t="shared" si="1"/>
        <v>0</v>
      </c>
      <c r="M6" s="174"/>
      <c r="N6" s="194"/>
      <c r="O6" s="195">
        <f>SUM(L6-M6-N6+O5+P6)</f>
        <v>268.89999999999998</v>
      </c>
      <c r="P6" s="196"/>
      <c r="Q6" s="178"/>
      <c r="R6" s="179"/>
      <c r="S6" s="198"/>
      <c r="T6" s="199"/>
      <c r="U6" s="124"/>
      <c r="V6" s="124"/>
      <c r="W6" s="135"/>
      <c r="X6" s="182">
        <v>4</v>
      </c>
      <c r="Y6" s="310"/>
      <c r="Z6" s="311"/>
      <c r="AA6" s="312"/>
      <c r="AB6" s="320"/>
      <c r="AC6" s="313"/>
      <c r="AD6" s="313"/>
      <c r="AE6" s="314">
        <f t="shared" si="2"/>
        <v>0</v>
      </c>
      <c r="AF6" s="312"/>
      <c r="AG6" s="312"/>
      <c r="AH6" s="315"/>
      <c r="AI6" s="316"/>
      <c r="AJ6" s="314">
        <v>0</v>
      </c>
      <c r="AK6" s="301"/>
      <c r="AL6" s="124"/>
      <c r="AM6" s="124"/>
      <c r="AN6" s="34"/>
      <c r="AQ6" s="100"/>
      <c r="AR6" s="70"/>
      <c r="AS6" s="71"/>
      <c r="AT6" s="71"/>
      <c r="AU6" s="71"/>
      <c r="AV6" s="59"/>
      <c r="AW6" s="100"/>
      <c r="AY6" s="12"/>
      <c r="AZ6" s="2"/>
      <c r="BA6" s="12"/>
      <c r="BB6" s="2"/>
    </row>
    <row r="7" spans="1:57" ht="16.5" thickBot="1" x14ac:dyDescent="0.3">
      <c r="A7" s="166">
        <v>44808</v>
      </c>
      <c r="B7" s="190"/>
      <c r="C7" s="179"/>
      <c r="D7" s="179"/>
      <c r="E7" s="175"/>
      <c r="F7" s="170">
        <f t="shared" si="3"/>
        <v>0</v>
      </c>
      <c r="G7" s="171">
        <f t="shared" si="4"/>
        <v>0</v>
      </c>
      <c r="H7" s="179"/>
      <c r="I7" s="191"/>
      <c r="J7" s="175"/>
      <c r="K7" s="192">
        <f t="shared" si="0"/>
        <v>0</v>
      </c>
      <c r="L7" s="193">
        <f t="shared" si="1"/>
        <v>0</v>
      </c>
      <c r="M7" s="174"/>
      <c r="N7" s="194"/>
      <c r="O7" s="195">
        <f>SUM(L7-M7-N7+O6+P7)</f>
        <v>268.89999999999998</v>
      </c>
      <c r="P7" s="196"/>
      <c r="Q7" s="178"/>
      <c r="R7" s="179"/>
      <c r="S7" s="180"/>
      <c r="T7" s="199"/>
      <c r="U7" s="124"/>
      <c r="V7" s="124"/>
      <c r="W7" s="135"/>
      <c r="X7" s="182">
        <v>5</v>
      </c>
      <c r="Y7" s="317"/>
      <c r="Z7" s="318"/>
      <c r="AA7" s="319"/>
      <c r="AB7" s="319"/>
      <c r="AC7" s="314"/>
      <c r="AD7" s="314"/>
      <c r="AE7" s="314">
        <f t="shared" si="2"/>
        <v>0</v>
      </c>
      <c r="AF7" s="319"/>
      <c r="AG7" s="312"/>
      <c r="AH7" s="315"/>
      <c r="AI7" s="316"/>
      <c r="AJ7" s="314">
        <v>0</v>
      </c>
      <c r="AK7" s="23"/>
      <c r="AL7" s="124"/>
      <c r="AM7" s="124"/>
      <c r="AN7" s="24"/>
      <c r="AQ7" s="100"/>
      <c r="AR7" s="70"/>
      <c r="AS7" s="59"/>
      <c r="AT7" s="59"/>
      <c r="AU7" s="71"/>
      <c r="AV7" s="59"/>
      <c r="AW7" s="100"/>
      <c r="AY7" s="2"/>
      <c r="AZ7" s="2"/>
      <c r="BA7" s="12"/>
      <c r="BB7" s="2"/>
    </row>
    <row r="8" spans="1:57" ht="19.5" thickBot="1" x14ac:dyDescent="0.35">
      <c r="A8" s="166">
        <v>44809</v>
      </c>
      <c r="B8" s="190"/>
      <c r="C8" s="179"/>
      <c r="D8" s="179"/>
      <c r="E8" s="175"/>
      <c r="F8" s="170">
        <f t="shared" si="3"/>
        <v>0</v>
      </c>
      <c r="G8" s="171">
        <f t="shared" si="4"/>
        <v>0</v>
      </c>
      <c r="H8" s="179"/>
      <c r="I8" s="191"/>
      <c r="J8" s="175"/>
      <c r="K8" s="192">
        <f t="shared" si="0"/>
        <v>0</v>
      </c>
      <c r="L8" s="193">
        <f t="shared" si="1"/>
        <v>0</v>
      </c>
      <c r="M8" s="209"/>
      <c r="N8" s="194"/>
      <c r="O8" s="195">
        <f>SUM(L8-M8-N8+O7+P8)</f>
        <v>268.89999999999998</v>
      </c>
      <c r="P8" s="196"/>
      <c r="Q8" s="178"/>
      <c r="R8" s="179"/>
      <c r="S8" s="180"/>
      <c r="T8" s="199"/>
      <c r="U8" s="124"/>
      <c r="V8" s="124"/>
      <c r="W8" s="135"/>
      <c r="X8" s="182">
        <v>6</v>
      </c>
      <c r="Y8" s="310"/>
      <c r="Z8" s="311"/>
      <c r="AA8" s="312"/>
      <c r="AB8" s="312"/>
      <c r="AC8" s="313"/>
      <c r="AD8" s="313"/>
      <c r="AE8" s="314">
        <f t="shared" si="2"/>
        <v>0</v>
      </c>
      <c r="AF8" s="319"/>
      <c r="AG8" s="312"/>
      <c r="AH8" s="315"/>
      <c r="AI8" s="316"/>
      <c r="AJ8" s="314">
        <v>0</v>
      </c>
      <c r="AK8" s="163"/>
      <c r="AL8" s="124"/>
      <c r="AM8" s="124"/>
      <c r="AN8" s="34"/>
      <c r="AQ8" s="100"/>
      <c r="AR8" s="59"/>
      <c r="AS8" s="71"/>
      <c r="AT8" s="71"/>
      <c r="AU8" s="71"/>
      <c r="AV8" s="59"/>
      <c r="AW8" s="100"/>
      <c r="AY8" s="2"/>
      <c r="AZ8" s="2"/>
      <c r="BA8" s="2"/>
      <c r="BB8" s="2"/>
    </row>
    <row r="9" spans="1:57" ht="16.5" thickBot="1" x14ac:dyDescent="0.3">
      <c r="A9" s="166">
        <v>44810</v>
      </c>
      <c r="B9" s="190"/>
      <c r="C9" s="179"/>
      <c r="D9" s="179"/>
      <c r="E9" s="175"/>
      <c r="F9" s="170">
        <f t="shared" si="3"/>
        <v>0</v>
      </c>
      <c r="G9" s="171">
        <f t="shared" si="4"/>
        <v>0</v>
      </c>
      <c r="H9" s="179"/>
      <c r="I9" s="191"/>
      <c r="J9" s="175"/>
      <c r="K9" s="192">
        <f t="shared" si="0"/>
        <v>0</v>
      </c>
      <c r="L9" s="193">
        <f t="shared" si="1"/>
        <v>0</v>
      </c>
      <c r="M9" s="174"/>
      <c r="N9" s="194"/>
      <c r="O9" s="195">
        <f t="shared" ref="O9:O33" si="5">SUM(L9-M9-N9+O8)</f>
        <v>268.89999999999998</v>
      </c>
      <c r="P9" s="196"/>
      <c r="Q9" s="178"/>
      <c r="R9" s="179"/>
      <c r="S9" s="180"/>
      <c r="T9" s="199"/>
      <c r="U9" s="124"/>
      <c r="V9" s="124"/>
      <c r="W9" s="135"/>
      <c r="X9" s="182">
        <v>7</v>
      </c>
      <c r="Y9" s="200"/>
      <c r="Z9" s="201"/>
      <c r="AA9" s="182"/>
      <c r="AB9" s="182"/>
      <c r="AC9" s="210"/>
      <c r="AD9" s="210"/>
      <c r="AE9" s="108">
        <f t="shared" si="2"/>
        <v>0</v>
      </c>
      <c r="AF9" s="182"/>
      <c r="AG9" s="182"/>
      <c r="AH9" s="202"/>
      <c r="AI9" s="203"/>
      <c r="AJ9" s="108">
        <f>AE9</f>
        <v>0</v>
      </c>
      <c r="AK9" s="163"/>
      <c r="AL9" s="124"/>
      <c r="AM9" s="124"/>
      <c r="AN9" s="24"/>
      <c r="AQ9" s="100"/>
      <c r="AR9" s="70"/>
      <c r="AS9" s="59"/>
      <c r="AT9" s="59"/>
      <c r="AU9" s="59"/>
      <c r="AV9" s="59"/>
      <c r="AW9" s="100"/>
      <c r="AY9" s="2"/>
      <c r="AZ9" s="2"/>
      <c r="BA9" s="2"/>
      <c r="BB9" s="2"/>
    </row>
    <row r="10" spans="1:57" ht="19.5" thickBot="1" x14ac:dyDescent="0.35">
      <c r="A10" s="166">
        <v>44811</v>
      </c>
      <c r="B10" s="190"/>
      <c r="C10" s="179"/>
      <c r="D10" s="179"/>
      <c r="E10" s="175"/>
      <c r="F10" s="170">
        <f t="shared" si="3"/>
        <v>0</v>
      </c>
      <c r="G10" s="171">
        <f t="shared" si="4"/>
        <v>0</v>
      </c>
      <c r="H10" s="179"/>
      <c r="I10" s="191"/>
      <c r="J10" s="175"/>
      <c r="K10" s="192">
        <f t="shared" si="0"/>
        <v>0</v>
      </c>
      <c r="L10" s="193">
        <f t="shared" si="1"/>
        <v>0</v>
      </c>
      <c r="M10" s="174"/>
      <c r="N10" s="194"/>
      <c r="O10" s="195">
        <f t="shared" si="5"/>
        <v>268.89999999999998</v>
      </c>
      <c r="P10" s="196"/>
      <c r="Q10" s="178"/>
      <c r="R10" s="179"/>
      <c r="S10" s="180"/>
      <c r="T10" s="199"/>
      <c r="U10" s="124"/>
      <c r="V10" s="124"/>
      <c r="W10" s="135"/>
      <c r="X10" s="182">
        <v>8</v>
      </c>
      <c r="Y10" s="200"/>
      <c r="Z10" s="201"/>
      <c r="AA10" s="182"/>
      <c r="AB10" s="182"/>
      <c r="AC10" s="210"/>
      <c r="AD10" s="210"/>
      <c r="AE10" s="108">
        <f t="shared" si="2"/>
        <v>0</v>
      </c>
      <c r="AF10" s="182"/>
      <c r="AG10" s="182"/>
      <c r="AH10" s="202"/>
      <c r="AI10" s="203"/>
      <c r="AJ10" s="108">
        <f t="shared" ref="AJ10:AJ29" si="6">AE10</f>
        <v>0</v>
      </c>
      <c r="AK10" s="163"/>
      <c r="AL10" s="124"/>
      <c r="AM10" s="124"/>
      <c r="AN10" s="22"/>
      <c r="AQ10" s="100"/>
      <c r="AR10" s="59"/>
      <c r="AS10" s="59"/>
      <c r="AT10" s="59"/>
      <c r="AU10" s="59"/>
      <c r="AV10" s="59"/>
      <c r="AW10" s="100"/>
      <c r="AY10" s="2"/>
      <c r="AZ10" s="2"/>
      <c r="BA10" s="2"/>
      <c r="BB10" s="2"/>
    </row>
    <row r="11" spans="1:57" ht="19.5" thickBot="1" x14ac:dyDescent="0.35">
      <c r="A11" s="166">
        <v>44812</v>
      </c>
      <c r="B11" s="190"/>
      <c r="C11" s="179"/>
      <c r="D11" s="179"/>
      <c r="E11" s="175"/>
      <c r="F11" s="170">
        <f t="shared" si="3"/>
        <v>0</v>
      </c>
      <c r="G11" s="171">
        <f t="shared" si="4"/>
        <v>0</v>
      </c>
      <c r="H11" s="179"/>
      <c r="I11" s="191"/>
      <c r="J11" s="175"/>
      <c r="K11" s="192">
        <f t="shared" si="0"/>
        <v>0</v>
      </c>
      <c r="L11" s="193">
        <f t="shared" si="1"/>
        <v>0</v>
      </c>
      <c r="M11" s="174"/>
      <c r="N11" s="194"/>
      <c r="O11" s="195">
        <f t="shared" si="5"/>
        <v>268.89999999999998</v>
      </c>
      <c r="P11" s="196"/>
      <c r="Q11" s="211"/>
      <c r="R11" s="212"/>
      <c r="S11" s="198"/>
      <c r="T11" s="213"/>
      <c r="U11" s="124"/>
      <c r="V11" s="124"/>
      <c r="W11" s="135"/>
      <c r="X11" s="182">
        <v>9</v>
      </c>
      <c r="Y11" s="200"/>
      <c r="Z11" s="201"/>
      <c r="AA11" s="182"/>
      <c r="AB11" s="182"/>
      <c r="AC11" s="108"/>
      <c r="AD11" s="108"/>
      <c r="AE11" s="108">
        <f t="shared" si="2"/>
        <v>0</v>
      </c>
      <c r="AF11" s="182"/>
      <c r="AG11" s="182"/>
      <c r="AH11" s="202"/>
      <c r="AI11" s="203"/>
      <c r="AJ11" s="108">
        <f t="shared" si="6"/>
        <v>0</v>
      </c>
      <c r="AK11" s="163"/>
      <c r="AL11" s="124"/>
      <c r="AM11" s="124"/>
      <c r="AN11" s="22"/>
      <c r="AQ11" s="100"/>
      <c r="AR11" s="59"/>
      <c r="AS11" s="59"/>
      <c r="AT11" s="59"/>
      <c r="AU11" s="59"/>
      <c r="AV11" s="75"/>
      <c r="AW11" s="100"/>
      <c r="AY11" s="2"/>
      <c r="AZ11" s="2"/>
      <c r="BA11" s="2"/>
      <c r="BB11" s="2"/>
    </row>
    <row r="12" spans="1:57" ht="19.5" thickBot="1" x14ac:dyDescent="0.35">
      <c r="A12" s="166">
        <v>44813</v>
      </c>
      <c r="B12" s="190"/>
      <c r="C12" s="179"/>
      <c r="D12" s="179"/>
      <c r="E12" s="175"/>
      <c r="F12" s="170">
        <f t="shared" si="3"/>
        <v>0</v>
      </c>
      <c r="G12" s="171">
        <f t="shared" si="4"/>
        <v>0</v>
      </c>
      <c r="H12" s="179"/>
      <c r="I12" s="191"/>
      <c r="J12" s="175"/>
      <c r="K12" s="192">
        <f t="shared" si="0"/>
        <v>0</v>
      </c>
      <c r="L12" s="193">
        <f t="shared" si="1"/>
        <v>0</v>
      </c>
      <c r="M12" s="214"/>
      <c r="N12" s="194"/>
      <c r="O12" s="195">
        <f t="shared" si="5"/>
        <v>268.89999999999998</v>
      </c>
      <c r="P12" s="196"/>
      <c r="Q12" s="211"/>
      <c r="R12" s="212"/>
      <c r="S12" s="198"/>
      <c r="T12" s="213"/>
      <c r="U12" s="124"/>
      <c r="V12" s="124"/>
      <c r="W12" s="135"/>
      <c r="X12" s="182">
        <v>10</v>
      </c>
      <c r="Y12" s="200"/>
      <c r="Z12" s="201"/>
      <c r="AA12" s="182"/>
      <c r="AB12" s="182"/>
      <c r="AC12" s="108"/>
      <c r="AD12" s="108"/>
      <c r="AE12" s="108">
        <f t="shared" si="2"/>
        <v>0</v>
      </c>
      <c r="AF12" s="182"/>
      <c r="AG12" s="182"/>
      <c r="AH12" s="202"/>
      <c r="AI12" s="203"/>
      <c r="AJ12" s="108">
        <f t="shared" si="6"/>
        <v>0</v>
      </c>
      <c r="AK12" s="163"/>
      <c r="AL12" s="124"/>
      <c r="AM12" s="124"/>
      <c r="AN12" s="22"/>
      <c r="AQ12" s="100"/>
      <c r="AR12" s="75"/>
      <c r="AS12" s="59"/>
      <c r="AT12" s="59"/>
      <c r="AU12" s="59"/>
      <c r="AV12" s="75"/>
      <c r="AW12" s="100"/>
      <c r="AY12" s="2"/>
      <c r="AZ12" s="2"/>
      <c r="BA12" s="2"/>
      <c r="BB12" s="2"/>
    </row>
    <row r="13" spans="1:57" ht="19.5" thickBot="1" x14ac:dyDescent="0.35">
      <c r="A13" s="166">
        <v>44814</v>
      </c>
      <c r="B13" s="190"/>
      <c r="C13" s="179"/>
      <c r="D13" s="179"/>
      <c r="E13" s="175"/>
      <c r="F13" s="170">
        <f t="shared" si="3"/>
        <v>0</v>
      </c>
      <c r="G13" s="171">
        <f t="shared" si="4"/>
        <v>0</v>
      </c>
      <c r="H13" s="179"/>
      <c r="I13" s="191"/>
      <c r="J13" s="175"/>
      <c r="K13" s="192">
        <f t="shared" si="0"/>
        <v>0</v>
      </c>
      <c r="L13" s="193">
        <f t="shared" si="1"/>
        <v>0</v>
      </c>
      <c r="M13" s="174"/>
      <c r="N13" s="194"/>
      <c r="O13" s="195">
        <f t="shared" si="5"/>
        <v>268.89999999999998</v>
      </c>
      <c r="P13" s="196"/>
      <c r="Q13" s="215"/>
      <c r="R13" s="212"/>
      <c r="S13" s="198"/>
      <c r="T13" s="199"/>
      <c r="U13" s="124"/>
      <c r="V13" s="124"/>
      <c r="W13" s="135"/>
      <c r="X13" s="182">
        <v>11</v>
      </c>
      <c r="Y13" s="200"/>
      <c r="Z13" s="201"/>
      <c r="AA13" s="182"/>
      <c r="AB13" s="182"/>
      <c r="AC13" s="108"/>
      <c r="AD13" s="108"/>
      <c r="AE13" s="108">
        <f t="shared" si="2"/>
        <v>0</v>
      </c>
      <c r="AF13" s="182"/>
      <c r="AG13" s="216"/>
      <c r="AH13" s="202"/>
      <c r="AI13" s="203"/>
      <c r="AJ13" s="108">
        <f t="shared" si="6"/>
        <v>0</v>
      </c>
      <c r="AK13" s="301"/>
      <c r="AL13" s="124"/>
      <c r="AM13" s="124"/>
      <c r="AN13" s="16"/>
      <c r="AQ13" s="100"/>
      <c r="AR13" s="75"/>
      <c r="AS13" s="59"/>
      <c r="AT13" s="59"/>
      <c r="AU13" s="59"/>
      <c r="AV13" s="75"/>
      <c r="AW13" s="100"/>
    </row>
    <row r="14" spans="1:57" ht="19.5" thickBot="1" x14ac:dyDescent="0.35">
      <c r="A14" s="166">
        <v>44815</v>
      </c>
      <c r="B14" s="190"/>
      <c r="C14" s="179"/>
      <c r="D14" s="179"/>
      <c r="E14" s="175"/>
      <c r="F14" s="170">
        <f t="shared" si="3"/>
        <v>0</v>
      </c>
      <c r="G14" s="171">
        <f t="shared" si="4"/>
        <v>0</v>
      </c>
      <c r="H14" s="179"/>
      <c r="I14" s="191"/>
      <c r="J14" s="175"/>
      <c r="K14" s="192">
        <f t="shared" si="0"/>
        <v>0</v>
      </c>
      <c r="L14" s="193">
        <f t="shared" si="1"/>
        <v>0</v>
      </c>
      <c r="M14" s="174"/>
      <c r="N14" s="194"/>
      <c r="O14" s="195">
        <f t="shared" si="5"/>
        <v>268.89999999999998</v>
      </c>
      <c r="P14" s="196"/>
      <c r="Q14" s="215"/>
      <c r="R14" s="212"/>
      <c r="S14" s="198"/>
      <c r="T14" s="199"/>
      <c r="U14" s="124"/>
      <c r="V14" s="124"/>
      <c r="W14" s="135"/>
      <c r="X14" s="182">
        <v>12</v>
      </c>
      <c r="Y14" s="217"/>
      <c r="Z14" s="201"/>
      <c r="AA14" s="182"/>
      <c r="AB14" s="182"/>
      <c r="AC14" s="210"/>
      <c r="AD14" s="210"/>
      <c r="AE14" s="108">
        <f t="shared" si="2"/>
        <v>0</v>
      </c>
      <c r="AF14" s="182"/>
      <c r="AG14" s="216"/>
      <c r="AH14" s="202"/>
      <c r="AI14" s="203"/>
      <c r="AJ14" s="108">
        <f t="shared" si="6"/>
        <v>0</v>
      </c>
      <c r="AK14" s="301"/>
      <c r="AL14" s="124"/>
      <c r="AM14" s="124"/>
      <c r="AN14" s="16"/>
      <c r="AO14" s="4"/>
      <c r="AQ14" s="100"/>
      <c r="AR14" s="59"/>
      <c r="AS14" s="59"/>
      <c r="AT14" s="59"/>
      <c r="AU14" s="59"/>
      <c r="AV14" s="75"/>
      <c r="AW14" s="100"/>
    </row>
    <row r="15" spans="1:57" ht="19.5" thickBot="1" x14ac:dyDescent="0.35">
      <c r="A15" s="166">
        <v>44816</v>
      </c>
      <c r="B15" s="190"/>
      <c r="C15" s="179"/>
      <c r="D15" s="179"/>
      <c r="E15" s="175"/>
      <c r="F15" s="170">
        <f t="shared" si="3"/>
        <v>0</v>
      </c>
      <c r="G15" s="171">
        <f t="shared" si="4"/>
        <v>0</v>
      </c>
      <c r="H15" s="179"/>
      <c r="I15" s="191"/>
      <c r="J15" s="175"/>
      <c r="K15" s="192">
        <f t="shared" si="0"/>
        <v>0</v>
      </c>
      <c r="L15" s="193">
        <f t="shared" si="1"/>
        <v>0</v>
      </c>
      <c r="M15" s="174"/>
      <c r="N15" s="194"/>
      <c r="O15" s="195">
        <f t="shared" si="5"/>
        <v>268.89999999999998</v>
      </c>
      <c r="P15" s="196"/>
      <c r="Q15" s="218"/>
      <c r="R15" s="179"/>
      <c r="S15" s="180"/>
      <c r="T15" s="199"/>
      <c r="U15" s="124"/>
      <c r="V15" s="124"/>
      <c r="W15" s="135"/>
      <c r="X15" s="182">
        <v>13</v>
      </c>
      <c r="Y15" s="200"/>
      <c r="Z15" s="201"/>
      <c r="AA15" s="182"/>
      <c r="AB15" s="182"/>
      <c r="AC15" s="210"/>
      <c r="AD15" s="210"/>
      <c r="AE15" s="108">
        <f t="shared" si="2"/>
        <v>0</v>
      </c>
      <c r="AF15" s="182"/>
      <c r="AG15" s="182"/>
      <c r="AH15" s="202"/>
      <c r="AI15" s="203"/>
      <c r="AJ15" s="108">
        <f t="shared" si="6"/>
        <v>0</v>
      </c>
      <c r="AK15" s="301"/>
      <c r="AL15" s="124"/>
      <c r="AM15" s="124"/>
      <c r="AN15" s="16"/>
      <c r="AQ15" s="100"/>
      <c r="AR15" s="59"/>
      <c r="AS15" s="59"/>
      <c r="AT15" s="59"/>
      <c r="AU15" s="59"/>
      <c r="AV15" s="75"/>
      <c r="AW15" s="100"/>
    </row>
    <row r="16" spans="1:57" ht="19.5" thickBot="1" x14ac:dyDescent="0.35">
      <c r="A16" s="166">
        <v>44817</v>
      </c>
      <c r="B16" s="190"/>
      <c r="C16" s="179"/>
      <c r="D16" s="179"/>
      <c r="E16" s="175"/>
      <c r="F16" s="170">
        <f t="shared" si="3"/>
        <v>0</v>
      </c>
      <c r="G16" s="171">
        <f t="shared" si="4"/>
        <v>0</v>
      </c>
      <c r="H16" s="179"/>
      <c r="I16" s="191"/>
      <c r="J16" s="175"/>
      <c r="K16" s="192">
        <f t="shared" si="0"/>
        <v>0</v>
      </c>
      <c r="L16" s="193">
        <f t="shared" si="1"/>
        <v>0</v>
      </c>
      <c r="M16" s="209"/>
      <c r="N16" s="194"/>
      <c r="O16" s="195">
        <f t="shared" si="5"/>
        <v>268.89999999999998</v>
      </c>
      <c r="P16" s="196"/>
      <c r="Q16" s="219"/>
      <c r="R16" s="179"/>
      <c r="S16" s="180"/>
      <c r="T16" s="199"/>
      <c r="U16" s="124"/>
      <c r="V16" s="124"/>
      <c r="W16" s="135"/>
      <c r="X16" s="182">
        <v>14</v>
      </c>
      <c r="Y16" s="200"/>
      <c r="Z16" s="201"/>
      <c r="AA16" s="182"/>
      <c r="AB16" s="182"/>
      <c r="AC16" s="210"/>
      <c r="AD16" s="210"/>
      <c r="AE16" s="108">
        <f t="shared" si="2"/>
        <v>0</v>
      </c>
      <c r="AF16" s="182"/>
      <c r="AG16" s="182"/>
      <c r="AH16" s="202"/>
      <c r="AI16" s="203"/>
      <c r="AJ16" s="108">
        <f t="shared" si="6"/>
        <v>0</v>
      </c>
      <c r="AK16" s="301"/>
      <c r="AL16" s="124"/>
      <c r="AM16" s="124"/>
      <c r="AN16" s="16"/>
      <c r="AQ16" s="100"/>
      <c r="AR16" s="59"/>
      <c r="AS16" s="59"/>
      <c r="AT16" s="59"/>
      <c r="AU16" s="59"/>
      <c r="AV16" s="75"/>
      <c r="AW16" s="100"/>
    </row>
    <row r="17" spans="1:54" ht="19.5" thickBot="1" x14ac:dyDescent="0.35">
      <c r="A17" s="166">
        <v>44818</v>
      </c>
      <c r="B17" s="190"/>
      <c r="C17" s="179"/>
      <c r="D17" s="179"/>
      <c r="E17" s="175"/>
      <c r="F17" s="170">
        <f t="shared" si="3"/>
        <v>0</v>
      </c>
      <c r="G17" s="171">
        <f t="shared" si="4"/>
        <v>0</v>
      </c>
      <c r="H17" s="179"/>
      <c r="I17" s="191"/>
      <c r="J17" s="175"/>
      <c r="K17" s="192">
        <f t="shared" si="0"/>
        <v>0</v>
      </c>
      <c r="L17" s="193">
        <f t="shared" si="1"/>
        <v>0</v>
      </c>
      <c r="M17" s="209"/>
      <c r="N17" s="194"/>
      <c r="O17" s="195">
        <f>SUM(L17-M17-N17+O16+P17)</f>
        <v>268.89999999999998</v>
      </c>
      <c r="P17" s="196"/>
      <c r="Q17" s="218"/>
      <c r="R17" s="179"/>
      <c r="S17" s="180"/>
      <c r="T17" s="199"/>
      <c r="U17" s="124"/>
      <c r="V17" s="124"/>
      <c r="W17" s="135"/>
      <c r="X17" s="182">
        <v>15</v>
      </c>
      <c r="Y17" s="200"/>
      <c r="Z17" s="201"/>
      <c r="AA17" s="182"/>
      <c r="AB17" s="182"/>
      <c r="AC17" s="210"/>
      <c r="AD17" s="210"/>
      <c r="AE17" s="108">
        <f t="shared" si="2"/>
        <v>0</v>
      </c>
      <c r="AF17" s="182"/>
      <c r="AG17" s="216"/>
      <c r="AH17" s="202"/>
      <c r="AI17" s="203"/>
      <c r="AJ17" s="108">
        <f t="shared" si="6"/>
        <v>0</v>
      </c>
      <c r="AK17" s="301"/>
      <c r="AL17" s="124"/>
      <c r="AM17" s="124"/>
      <c r="AN17" s="16"/>
      <c r="AQ17" s="100"/>
      <c r="AR17" s="59"/>
      <c r="AS17" s="59"/>
      <c r="AT17" s="59"/>
      <c r="AU17" s="59"/>
      <c r="AV17" s="75"/>
      <c r="AW17" s="100"/>
    </row>
    <row r="18" spans="1:54" ht="19.5" thickBot="1" x14ac:dyDescent="0.35">
      <c r="A18" s="166">
        <v>44819</v>
      </c>
      <c r="B18" s="190"/>
      <c r="C18" s="179"/>
      <c r="D18" s="179"/>
      <c r="E18" s="175"/>
      <c r="F18" s="170">
        <f t="shared" si="3"/>
        <v>0</v>
      </c>
      <c r="G18" s="171">
        <f t="shared" si="4"/>
        <v>0</v>
      </c>
      <c r="H18" s="179"/>
      <c r="I18" s="191"/>
      <c r="J18" s="175"/>
      <c r="K18" s="192">
        <f t="shared" si="0"/>
        <v>0</v>
      </c>
      <c r="L18" s="193">
        <f t="shared" si="1"/>
        <v>0</v>
      </c>
      <c r="M18" s="174"/>
      <c r="N18" s="220"/>
      <c r="O18" s="195">
        <f>SUM(L18-M18-N18+O17+P18)</f>
        <v>268.89999999999998</v>
      </c>
      <c r="P18" s="196"/>
      <c r="Q18" s="218"/>
      <c r="R18" s="179"/>
      <c r="S18" s="180"/>
      <c r="T18" s="199"/>
      <c r="U18" s="124"/>
      <c r="V18" s="124"/>
      <c r="W18" s="135"/>
      <c r="X18" s="182">
        <v>16</v>
      </c>
      <c r="Y18" s="200"/>
      <c r="Z18" s="201"/>
      <c r="AA18" s="182"/>
      <c r="AB18" s="182"/>
      <c r="AC18" s="108"/>
      <c r="AD18" s="108"/>
      <c r="AE18" s="108">
        <f t="shared" si="2"/>
        <v>0</v>
      </c>
      <c r="AF18" s="182"/>
      <c r="AG18" s="182"/>
      <c r="AH18" s="202"/>
      <c r="AI18" s="203"/>
      <c r="AJ18" s="108">
        <f t="shared" si="6"/>
        <v>0</v>
      </c>
      <c r="AK18" s="301"/>
      <c r="AL18" s="124"/>
      <c r="AM18" s="124"/>
      <c r="AN18" s="16"/>
      <c r="AQ18" s="100"/>
      <c r="AR18" s="59"/>
      <c r="AS18" s="59"/>
      <c r="AT18" s="59"/>
      <c r="AU18" s="59"/>
      <c r="AV18" s="59"/>
      <c r="AW18" s="100"/>
    </row>
    <row r="19" spans="1:54" ht="19.5" thickBot="1" x14ac:dyDescent="0.35">
      <c r="A19" s="166">
        <v>44820</v>
      </c>
      <c r="B19" s="190"/>
      <c r="C19" s="179"/>
      <c r="D19" s="179"/>
      <c r="E19" s="175"/>
      <c r="F19" s="170">
        <f t="shared" si="3"/>
        <v>0</v>
      </c>
      <c r="G19" s="171">
        <f t="shared" si="4"/>
        <v>0</v>
      </c>
      <c r="H19" s="179"/>
      <c r="I19" s="191"/>
      <c r="J19" s="175"/>
      <c r="K19" s="192">
        <f t="shared" si="0"/>
        <v>0</v>
      </c>
      <c r="L19" s="193">
        <f t="shared" si="1"/>
        <v>0</v>
      </c>
      <c r="M19" s="174"/>
      <c r="N19" s="194"/>
      <c r="O19" s="195">
        <f>SUM(L19-M19-N19+O18+P19)</f>
        <v>268.89999999999998</v>
      </c>
      <c r="P19" s="196"/>
      <c r="Q19" s="218"/>
      <c r="R19" s="179"/>
      <c r="S19" s="180"/>
      <c r="T19" s="199"/>
      <c r="U19" s="124"/>
      <c r="V19" s="124"/>
      <c r="W19" s="135"/>
      <c r="X19" s="182">
        <v>17</v>
      </c>
      <c r="Y19" s="200"/>
      <c r="Z19" s="201"/>
      <c r="AA19" s="182"/>
      <c r="AB19" s="182"/>
      <c r="AC19" s="210"/>
      <c r="AD19" s="210"/>
      <c r="AE19" s="108">
        <f t="shared" si="2"/>
        <v>0</v>
      </c>
      <c r="AF19" s="208"/>
      <c r="AG19" s="182"/>
      <c r="AH19" s="202"/>
      <c r="AI19" s="203"/>
      <c r="AJ19" s="108">
        <f t="shared" si="6"/>
        <v>0</v>
      </c>
      <c r="AK19" s="301"/>
      <c r="AL19" s="124"/>
      <c r="AM19" s="124"/>
      <c r="AN19" s="16"/>
      <c r="AQ19" s="100"/>
      <c r="AR19" s="59"/>
      <c r="AS19" s="59"/>
      <c r="AT19" s="59"/>
      <c r="AU19" s="59"/>
      <c r="AV19" s="59"/>
      <c r="AW19" s="100"/>
    </row>
    <row r="20" spans="1:54" ht="19.5" thickBot="1" x14ac:dyDescent="0.35">
      <c r="A20" s="166">
        <v>44821</v>
      </c>
      <c r="B20" s="190"/>
      <c r="C20" s="179"/>
      <c r="D20" s="179"/>
      <c r="E20" s="175"/>
      <c r="F20" s="170">
        <f t="shared" si="3"/>
        <v>0</v>
      </c>
      <c r="G20" s="171">
        <f t="shared" si="4"/>
        <v>0</v>
      </c>
      <c r="H20" s="179"/>
      <c r="I20" s="191"/>
      <c r="J20" s="175"/>
      <c r="K20" s="192">
        <f t="shared" si="0"/>
        <v>0</v>
      </c>
      <c r="L20" s="193">
        <f t="shared" si="1"/>
        <v>0</v>
      </c>
      <c r="M20" s="174"/>
      <c r="N20" s="194"/>
      <c r="O20" s="195">
        <f>SUM(L20-M20-N20+O19+P20)</f>
        <v>268.89999999999998</v>
      </c>
      <c r="P20" s="196"/>
      <c r="Q20" s="218"/>
      <c r="R20" s="179"/>
      <c r="S20" s="180"/>
      <c r="T20" s="199"/>
      <c r="U20" s="124"/>
      <c r="V20" s="124"/>
      <c r="W20" s="135"/>
      <c r="X20" s="182">
        <v>18</v>
      </c>
      <c r="Y20" s="200"/>
      <c r="Z20" s="201"/>
      <c r="AA20" s="182"/>
      <c r="AB20" s="182"/>
      <c r="AC20" s="210"/>
      <c r="AD20" s="210"/>
      <c r="AE20" s="108">
        <f t="shared" si="2"/>
        <v>0</v>
      </c>
      <c r="AF20" s="182"/>
      <c r="AG20" s="216"/>
      <c r="AH20" s="202"/>
      <c r="AI20" s="203"/>
      <c r="AJ20" s="108">
        <f t="shared" si="6"/>
        <v>0</v>
      </c>
      <c r="AK20" s="301"/>
      <c r="AL20" s="124"/>
      <c r="AM20" s="124"/>
      <c r="AN20" s="22"/>
      <c r="AQ20" s="100"/>
      <c r="AR20" s="59"/>
      <c r="AS20" s="59"/>
      <c r="AT20" s="59"/>
      <c r="AU20" s="59"/>
      <c r="AV20" s="59"/>
      <c r="AW20" s="100"/>
    </row>
    <row r="21" spans="1:54" ht="19.5" thickBot="1" x14ac:dyDescent="0.35">
      <c r="A21" s="166">
        <v>44822</v>
      </c>
      <c r="B21" s="190"/>
      <c r="C21" s="179"/>
      <c r="D21" s="179"/>
      <c r="E21" s="175"/>
      <c r="F21" s="170">
        <f t="shared" si="3"/>
        <v>0</v>
      </c>
      <c r="G21" s="171">
        <f t="shared" si="4"/>
        <v>0</v>
      </c>
      <c r="H21" s="179"/>
      <c r="I21" s="191"/>
      <c r="J21" s="175"/>
      <c r="K21" s="192">
        <f t="shared" si="0"/>
        <v>0</v>
      </c>
      <c r="L21" s="193">
        <f t="shared" si="1"/>
        <v>0</v>
      </c>
      <c r="M21" s="174"/>
      <c r="N21" s="194"/>
      <c r="O21" s="195">
        <f t="shared" si="5"/>
        <v>268.89999999999998</v>
      </c>
      <c r="P21" s="196"/>
      <c r="Q21" s="218"/>
      <c r="R21" s="179"/>
      <c r="S21" s="180"/>
      <c r="T21" s="199"/>
      <c r="U21" s="124"/>
      <c r="V21" s="124"/>
      <c r="W21" s="135"/>
      <c r="X21" s="182">
        <v>19</v>
      </c>
      <c r="Y21" s="200"/>
      <c r="Z21" s="201"/>
      <c r="AA21" s="182"/>
      <c r="AB21" s="221"/>
      <c r="AC21" s="108"/>
      <c r="AD21" s="108"/>
      <c r="AE21" s="108">
        <f t="shared" si="2"/>
        <v>0</v>
      </c>
      <c r="AF21" s="182"/>
      <c r="AG21" s="182"/>
      <c r="AH21" s="202"/>
      <c r="AI21" s="203"/>
      <c r="AJ21" s="108">
        <f t="shared" si="6"/>
        <v>0</v>
      </c>
      <c r="AK21" s="301"/>
      <c r="AL21" s="124"/>
      <c r="AM21" s="124"/>
      <c r="AN21" s="22"/>
      <c r="AQ21" s="100"/>
      <c r="AR21" s="59"/>
      <c r="AS21" s="59"/>
      <c r="AT21" s="59"/>
      <c r="AU21" s="59"/>
      <c r="AV21" s="59"/>
      <c r="AW21" s="100"/>
    </row>
    <row r="22" spans="1:54" ht="19.5" thickBot="1" x14ac:dyDescent="0.35">
      <c r="A22" s="166">
        <v>44823</v>
      </c>
      <c r="B22" s="190"/>
      <c r="C22" s="179"/>
      <c r="D22" s="179"/>
      <c r="E22" s="175"/>
      <c r="F22" s="170">
        <f t="shared" si="3"/>
        <v>0</v>
      </c>
      <c r="G22" s="171">
        <f t="shared" si="4"/>
        <v>0</v>
      </c>
      <c r="H22" s="179"/>
      <c r="I22" s="191"/>
      <c r="J22" s="175"/>
      <c r="K22" s="192">
        <f t="shared" si="0"/>
        <v>0</v>
      </c>
      <c r="L22" s="193">
        <f t="shared" si="1"/>
        <v>0</v>
      </c>
      <c r="M22" s="174"/>
      <c r="N22" s="194"/>
      <c r="O22" s="195">
        <f t="shared" si="5"/>
        <v>268.89999999999998</v>
      </c>
      <c r="P22" s="196"/>
      <c r="Q22" s="218"/>
      <c r="R22" s="179"/>
      <c r="S22" s="180"/>
      <c r="T22" s="199"/>
      <c r="U22" s="124"/>
      <c r="V22" s="124"/>
      <c r="W22" s="135"/>
      <c r="X22" s="182">
        <v>20</v>
      </c>
      <c r="Y22" s="200"/>
      <c r="Z22" s="201"/>
      <c r="AA22" s="182"/>
      <c r="AB22" s="221"/>
      <c r="AC22" s="210"/>
      <c r="AD22" s="210"/>
      <c r="AE22" s="108">
        <f t="shared" si="2"/>
        <v>0</v>
      </c>
      <c r="AF22" s="182"/>
      <c r="AG22" s="182"/>
      <c r="AH22" s="202"/>
      <c r="AI22" s="203"/>
      <c r="AJ22" s="108">
        <f t="shared" si="6"/>
        <v>0</v>
      </c>
      <c r="AK22" s="301"/>
      <c r="AL22" s="124"/>
      <c r="AM22" s="124"/>
      <c r="AN22" s="16"/>
      <c r="AQ22" s="100"/>
      <c r="AR22" s="59"/>
      <c r="AS22" s="71"/>
      <c r="AT22" s="71"/>
      <c r="AU22" s="71"/>
      <c r="AV22" s="59"/>
      <c r="AW22" s="100"/>
    </row>
    <row r="23" spans="1:54" ht="19.5" thickBot="1" x14ac:dyDescent="0.35">
      <c r="A23" s="166">
        <v>44824</v>
      </c>
      <c r="B23" s="190"/>
      <c r="C23" s="179"/>
      <c r="D23" s="179"/>
      <c r="E23" s="175"/>
      <c r="F23" s="170">
        <f t="shared" si="3"/>
        <v>0</v>
      </c>
      <c r="G23" s="171">
        <f t="shared" si="4"/>
        <v>0</v>
      </c>
      <c r="H23" s="179"/>
      <c r="I23" s="191"/>
      <c r="J23" s="175"/>
      <c r="K23" s="192">
        <f t="shared" si="0"/>
        <v>0</v>
      </c>
      <c r="L23" s="193">
        <f t="shared" si="1"/>
        <v>0</v>
      </c>
      <c r="M23" s="174"/>
      <c r="N23" s="194"/>
      <c r="O23" s="195">
        <f t="shared" si="5"/>
        <v>268.89999999999998</v>
      </c>
      <c r="P23" s="196"/>
      <c r="Q23" s="211"/>
      <c r="R23" s="212"/>
      <c r="S23" s="180"/>
      <c r="T23" s="222"/>
      <c r="U23" s="124"/>
      <c r="V23" s="124"/>
      <c r="W23" s="135"/>
      <c r="X23" s="182">
        <v>21</v>
      </c>
      <c r="Y23" s="223"/>
      <c r="Z23" s="224"/>
      <c r="AA23" s="208"/>
      <c r="AB23" s="225"/>
      <c r="AC23" s="108"/>
      <c r="AD23" s="108"/>
      <c r="AE23" s="108">
        <f t="shared" si="2"/>
        <v>0</v>
      </c>
      <c r="AF23" s="208"/>
      <c r="AG23" s="226"/>
      <c r="AH23" s="202"/>
      <c r="AI23" s="203"/>
      <c r="AJ23" s="108">
        <f t="shared" si="6"/>
        <v>0</v>
      </c>
      <c r="AK23" s="301"/>
      <c r="AL23" s="124"/>
      <c r="AM23" s="124"/>
      <c r="AN23" s="16"/>
      <c r="AQ23" s="100"/>
      <c r="AR23" s="100"/>
      <c r="AS23" s="100"/>
      <c r="AT23" s="100"/>
      <c r="AU23" s="100"/>
      <c r="AV23" s="100"/>
      <c r="AW23" s="100"/>
    </row>
    <row r="24" spans="1:54" ht="19.5" thickBot="1" x14ac:dyDescent="0.35">
      <c r="A24" s="166">
        <v>44825</v>
      </c>
      <c r="B24" s="190"/>
      <c r="C24" s="179"/>
      <c r="D24" s="179"/>
      <c r="E24" s="175"/>
      <c r="F24" s="170">
        <f t="shared" si="3"/>
        <v>0</v>
      </c>
      <c r="G24" s="171">
        <f t="shared" si="4"/>
        <v>0</v>
      </c>
      <c r="H24" s="179"/>
      <c r="I24" s="191"/>
      <c r="J24" s="175"/>
      <c r="K24" s="192">
        <f t="shared" si="0"/>
        <v>0</v>
      </c>
      <c r="L24" s="193">
        <f t="shared" si="1"/>
        <v>0</v>
      </c>
      <c r="M24" s="209"/>
      <c r="N24" s="194"/>
      <c r="O24" s="195">
        <f>SUM(L24-M24-N24+O23+P24)</f>
        <v>268.89999999999998</v>
      </c>
      <c r="P24" s="196"/>
      <c r="Q24" s="211"/>
      <c r="R24" s="212"/>
      <c r="S24" s="180"/>
      <c r="T24" s="222"/>
      <c r="U24" s="124"/>
      <c r="V24" s="124"/>
      <c r="W24" s="135"/>
      <c r="X24" s="182">
        <v>22</v>
      </c>
      <c r="Y24" s="200"/>
      <c r="Z24" s="201"/>
      <c r="AA24" s="182"/>
      <c r="AB24" s="227"/>
      <c r="AC24" s="210"/>
      <c r="AD24" s="210"/>
      <c r="AE24" s="108">
        <f t="shared" si="2"/>
        <v>0</v>
      </c>
      <c r="AF24" s="182"/>
      <c r="AG24" s="226"/>
      <c r="AH24" s="202"/>
      <c r="AI24" s="203"/>
      <c r="AJ24" s="108">
        <f t="shared" si="6"/>
        <v>0</v>
      </c>
      <c r="AK24" s="301"/>
      <c r="AL24" s="124"/>
      <c r="AM24" s="124"/>
      <c r="AN24" s="16"/>
    </row>
    <row r="25" spans="1:54" ht="19.5" thickBot="1" x14ac:dyDescent="0.35">
      <c r="A25" s="166">
        <v>44826</v>
      </c>
      <c r="B25" s="190"/>
      <c r="C25" s="179"/>
      <c r="D25" s="179"/>
      <c r="E25" s="175"/>
      <c r="F25" s="170">
        <f t="shared" si="3"/>
        <v>0</v>
      </c>
      <c r="G25" s="171">
        <f t="shared" si="4"/>
        <v>0</v>
      </c>
      <c r="H25" s="179"/>
      <c r="I25" s="191"/>
      <c r="J25" s="175"/>
      <c r="K25" s="192">
        <f t="shared" si="0"/>
        <v>0</v>
      </c>
      <c r="L25" s="193">
        <f t="shared" si="1"/>
        <v>0</v>
      </c>
      <c r="M25" s="174"/>
      <c r="N25" s="194"/>
      <c r="O25" s="195">
        <f t="shared" si="5"/>
        <v>268.89999999999998</v>
      </c>
      <c r="P25" s="196"/>
      <c r="Q25" s="178"/>
      <c r="R25" s="179"/>
      <c r="S25" s="180"/>
      <c r="T25" s="181"/>
      <c r="U25" s="124"/>
      <c r="V25" s="124"/>
      <c r="W25" s="135"/>
      <c r="X25" s="182">
        <v>26</v>
      </c>
      <c r="Y25" s="223"/>
      <c r="Z25" s="224"/>
      <c r="AA25" s="208"/>
      <c r="AB25" s="228"/>
      <c r="AC25" s="210"/>
      <c r="AD25" s="210"/>
      <c r="AE25" s="108">
        <f t="shared" si="2"/>
        <v>0</v>
      </c>
      <c r="AF25" s="208"/>
      <c r="AG25" s="226"/>
      <c r="AH25" s="202"/>
      <c r="AI25" s="203"/>
      <c r="AJ25" s="108">
        <f t="shared" si="6"/>
        <v>0</v>
      </c>
      <c r="AK25" s="301"/>
      <c r="AL25" s="124"/>
      <c r="AM25" s="124"/>
      <c r="AN25" s="16"/>
      <c r="AW25" s="2"/>
    </row>
    <row r="26" spans="1:54" ht="19.5" thickBot="1" x14ac:dyDescent="0.35">
      <c r="A26" s="166">
        <v>44827</v>
      </c>
      <c r="B26" s="190"/>
      <c r="C26" s="179"/>
      <c r="D26" s="179"/>
      <c r="E26" s="175"/>
      <c r="F26" s="170">
        <f t="shared" si="3"/>
        <v>0</v>
      </c>
      <c r="G26" s="171">
        <f t="shared" si="4"/>
        <v>0</v>
      </c>
      <c r="H26" s="179"/>
      <c r="I26" s="191"/>
      <c r="J26" s="175"/>
      <c r="K26" s="192">
        <f t="shared" si="0"/>
        <v>0</v>
      </c>
      <c r="L26" s="193">
        <f t="shared" si="1"/>
        <v>0</v>
      </c>
      <c r="M26" s="174"/>
      <c r="N26" s="194"/>
      <c r="O26" s="195">
        <f t="shared" si="5"/>
        <v>268.89999999999998</v>
      </c>
      <c r="P26" s="196"/>
      <c r="Q26" s="178"/>
      <c r="R26" s="179"/>
      <c r="S26" s="180"/>
      <c r="T26" s="222"/>
      <c r="U26" s="124"/>
      <c r="V26" s="124"/>
      <c r="W26" s="135"/>
      <c r="X26" s="182">
        <v>27</v>
      </c>
      <c r="Y26" s="223"/>
      <c r="Z26" s="224"/>
      <c r="AA26" s="208"/>
      <c r="AB26" s="228"/>
      <c r="AC26" s="210"/>
      <c r="AD26" s="210"/>
      <c r="AE26" s="108">
        <f t="shared" si="2"/>
        <v>0</v>
      </c>
      <c r="AF26" s="208"/>
      <c r="AG26" s="226"/>
      <c r="AH26" s="202"/>
      <c r="AI26" s="203"/>
      <c r="AJ26" s="108">
        <f t="shared" si="6"/>
        <v>0</v>
      </c>
      <c r="AK26" s="301"/>
      <c r="AL26" s="124"/>
      <c r="AM26" s="124"/>
      <c r="AN26" s="16"/>
      <c r="AW26" s="2"/>
      <c r="AY26" s="2"/>
    </row>
    <row r="27" spans="1:54" ht="19.5" thickBot="1" x14ac:dyDescent="0.35">
      <c r="A27" s="166">
        <v>44828</v>
      </c>
      <c r="B27" s="190"/>
      <c r="C27" s="179"/>
      <c r="D27" s="179"/>
      <c r="E27" s="175"/>
      <c r="F27" s="170">
        <f t="shared" si="3"/>
        <v>0</v>
      </c>
      <c r="G27" s="171">
        <f t="shared" si="4"/>
        <v>0</v>
      </c>
      <c r="H27" s="179"/>
      <c r="I27" s="191"/>
      <c r="J27" s="175"/>
      <c r="K27" s="192">
        <f t="shared" si="0"/>
        <v>0</v>
      </c>
      <c r="L27" s="193">
        <f t="shared" si="1"/>
        <v>0</v>
      </c>
      <c r="M27" s="209"/>
      <c r="N27" s="194"/>
      <c r="O27" s="195">
        <f t="shared" si="5"/>
        <v>268.89999999999998</v>
      </c>
      <c r="P27" s="196"/>
      <c r="Q27" s="178"/>
      <c r="R27" s="179"/>
      <c r="S27" s="180"/>
      <c r="T27" s="222"/>
      <c r="U27" s="124"/>
      <c r="V27" s="124"/>
      <c r="W27" s="135"/>
      <c r="X27" s="182">
        <v>28</v>
      </c>
      <c r="Y27" s="200"/>
      <c r="Z27" s="201"/>
      <c r="AA27" s="182"/>
      <c r="AB27" s="182"/>
      <c r="AC27" s="210"/>
      <c r="AD27" s="210"/>
      <c r="AE27" s="108">
        <f t="shared" si="2"/>
        <v>0</v>
      </c>
      <c r="AF27" s="182"/>
      <c r="AG27" s="182"/>
      <c r="AH27" s="202"/>
      <c r="AI27" s="203"/>
      <c r="AJ27" s="108">
        <f t="shared" si="6"/>
        <v>0</v>
      </c>
      <c r="AK27" s="301"/>
      <c r="AL27" s="124"/>
      <c r="AM27" s="124"/>
      <c r="AN27" s="16"/>
      <c r="AR27" s="2"/>
      <c r="AS27" s="2"/>
      <c r="AT27" s="2"/>
      <c r="AU27" s="2"/>
      <c r="AV27" s="2"/>
      <c r="AW27" s="2"/>
      <c r="AY27" s="2"/>
      <c r="AZ27" s="2"/>
      <c r="BA27" s="2"/>
      <c r="BB27" s="2"/>
    </row>
    <row r="28" spans="1:54" ht="19.5" thickBot="1" x14ac:dyDescent="0.35">
      <c r="A28" s="166">
        <v>44829</v>
      </c>
      <c r="B28" s="190"/>
      <c r="C28" s="179"/>
      <c r="D28" s="179"/>
      <c r="E28" s="175"/>
      <c r="F28" s="170">
        <f t="shared" si="3"/>
        <v>0</v>
      </c>
      <c r="G28" s="171">
        <f t="shared" si="4"/>
        <v>0</v>
      </c>
      <c r="H28" s="179"/>
      <c r="I28" s="191"/>
      <c r="J28" s="175"/>
      <c r="K28" s="192">
        <f t="shared" si="0"/>
        <v>0</v>
      </c>
      <c r="L28" s="193">
        <f t="shared" si="1"/>
        <v>0</v>
      </c>
      <c r="M28" s="174"/>
      <c r="N28" s="194"/>
      <c r="O28" s="195">
        <f>SUM(L28-M28-N28+O27+P28)</f>
        <v>268.89999999999998</v>
      </c>
      <c r="P28" s="196"/>
      <c r="Q28" s="178"/>
      <c r="R28" s="179"/>
      <c r="S28" s="180"/>
      <c r="T28" s="222"/>
      <c r="U28" s="124"/>
      <c r="V28" s="124"/>
      <c r="W28" s="135"/>
      <c r="X28" s="182">
        <v>29</v>
      </c>
      <c r="Y28" s="200"/>
      <c r="Z28" s="201"/>
      <c r="AA28" s="182"/>
      <c r="AB28" s="182"/>
      <c r="AC28" s="210"/>
      <c r="AD28" s="210"/>
      <c r="AE28" s="108">
        <f t="shared" si="2"/>
        <v>0</v>
      </c>
      <c r="AF28" s="182"/>
      <c r="AG28" s="182"/>
      <c r="AH28" s="202"/>
      <c r="AI28" s="203"/>
      <c r="AJ28" s="108">
        <f t="shared" si="6"/>
        <v>0</v>
      </c>
      <c r="AK28" s="163"/>
      <c r="AL28" s="124"/>
      <c r="AM28" s="124"/>
      <c r="AN28" s="16"/>
      <c r="AR28" s="92"/>
      <c r="AS28" s="11"/>
      <c r="AT28" s="11"/>
      <c r="AU28" s="11"/>
      <c r="AV28" s="2"/>
      <c r="AW28" s="2"/>
      <c r="AY28" s="2"/>
      <c r="AZ28" s="2"/>
      <c r="BA28" s="12"/>
      <c r="BB28" s="2"/>
    </row>
    <row r="29" spans="1:54" ht="19.5" thickBot="1" x14ac:dyDescent="0.35">
      <c r="A29" s="166">
        <v>44830</v>
      </c>
      <c r="B29" s="190"/>
      <c r="C29" s="179"/>
      <c r="D29" s="179"/>
      <c r="E29" s="175"/>
      <c r="F29" s="170">
        <f t="shared" si="3"/>
        <v>0</v>
      </c>
      <c r="G29" s="171">
        <f t="shared" si="4"/>
        <v>0</v>
      </c>
      <c r="H29" s="179"/>
      <c r="I29" s="191"/>
      <c r="J29" s="175"/>
      <c r="K29" s="192">
        <f t="shared" si="0"/>
        <v>0</v>
      </c>
      <c r="L29" s="193">
        <f t="shared" si="1"/>
        <v>0</v>
      </c>
      <c r="M29" s="174"/>
      <c r="N29" s="194"/>
      <c r="O29" s="195">
        <f t="shared" si="5"/>
        <v>268.89999999999998</v>
      </c>
      <c r="P29" s="135"/>
      <c r="Q29" s="178"/>
      <c r="R29" s="179"/>
      <c r="S29" s="180"/>
      <c r="T29" s="222"/>
      <c r="U29" s="124"/>
      <c r="V29" s="124"/>
      <c r="W29" s="135"/>
      <c r="X29" s="182">
        <v>30</v>
      </c>
      <c r="Y29" s="200"/>
      <c r="Z29" s="201"/>
      <c r="AA29" s="182"/>
      <c r="AB29" s="182"/>
      <c r="AC29" s="108"/>
      <c r="AD29" s="108"/>
      <c r="AE29" s="108">
        <f t="shared" si="2"/>
        <v>0</v>
      </c>
      <c r="AF29" s="182"/>
      <c r="AG29" s="182"/>
      <c r="AH29" s="202"/>
      <c r="AI29" s="203"/>
      <c r="AJ29" s="108">
        <f t="shared" si="6"/>
        <v>0</v>
      </c>
      <c r="AK29" s="163"/>
      <c r="AL29" s="124"/>
      <c r="AM29" s="124"/>
      <c r="AN29" s="22"/>
      <c r="AR29" s="92"/>
      <c r="AS29" s="11"/>
      <c r="AT29" s="11"/>
      <c r="AU29" s="11"/>
      <c r="AV29" s="2"/>
      <c r="AW29" s="2"/>
      <c r="AY29" s="12"/>
      <c r="AZ29" s="2"/>
      <c r="BA29" s="12"/>
      <c r="BB29" s="2"/>
    </row>
    <row r="30" spans="1:54" ht="19.5" thickBot="1" x14ac:dyDescent="0.35">
      <c r="A30" s="166">
        <v>44831</v>
      </c>
      <c r="B30" s="229"/>
      <c r="C30" s="179"/>
      <c r="D30" s="179"/>
      <c r="E30" s="175"/>
      <c r="F30" s="170">
        <f t="shared" si="3"/>
        <v>0</v>
      </c>
      <c r="G30" s="171">
        <f t="shared" si="4"/>
        <v>0</v>
      </c>
      <c r="H30" s="179"/>
      <c r="I30" s="191"/>
      <c r="J30" s="175"/>
      <c r="K30" s="192">
        <f t="shared" si="0"/>
        <v>0</v>
      </c>
      <c r="L30" s="193">
        <f t="shared" si="1"/>
        <v>0</v>
      </c>
      <c r="M30" s="209"/>
      <c r="N30" s="194"/>
      <c r="O30" s="195">
        <f>SUM(L30-M30-N30+O29+P30)</f>
        <v>268.89999999999998</v>
      </c>
      <c r="P30" s="135"/>
      <c r="Q30" s="178"/>
      <c r="R30" s="179"/>
      <c r="S30" s="230"/>
      <c r="T30" s="222"/>
      <c r="U30" s="124"/>
      <c r="V30" s="124"/>
      <c r="W30" s="135"/>
      <c r="X30" s="24"/>
      <c r="Y30" s="160"/>
      <c r="Z30" s="161"/>
      <c r="AA30" s="24"/>
      <c r="AB30" s="24"/>
      <c r="AC30" s="231" t="s">
        <v>16</v>
      </c>
      <c r="AD30" s="231">
        <f>SUM(AD3:AD29)</f>
        <v>0</v>
      </c>
      <c r="AE30" s="163"/>
      <c r="AF30" s="232"/>
      <c r="AG30" s="24"/>
      <c r="AH30" s="233"/>
      <c r="AI30" s="165"/>
      <c r="AJ30" s="163"/>
      <c r="AK30" s="163"/>
      <c r="AL30" s="124"/>
      <c r="AM30" s="124"/>
      <c r="AN30" s="22"/>
      <c r="AR30" s="92"/>
      <c r="AS30" s="11"/>
      <c r="AT30" s="11"/>
      <c r="AU30" s="11"/>
      <c r="AV30" s="2"/>
      <c r="AW30" s="2"/>
      <c r="AY30" s="12"/>
      <c r="AZ30" s="2"/>
      <c r="BA30" s="12"/>
      <c r="BB30" s="2"/>
    </row>
    <row r="31" spans="1:54" ht="19.5" thickBot="1" x14ac:dyDescent="0.35">
      <c r="A31" s="166">
        <v>44832</v>
      </c>
      <c r="B31" s="234"/>
      <c r="C31" s="235"/>
      <c r="D31" s="236"/>
      <c r="E31" s="175"/>
      <c r="F31" s="170">
        <f t="shared" si="3"/>
        <v>0</v>
      </c>
      <c r="G31" s="171">
        <f t="shared" si="4"/>
        <v>0</v>
      </c>
      <c r="H31" s="179"/>
      <c r="I31" s="191"/>
      <c r="J31" s="237"/>
      <c r="K31" s="192">
        <f t="shared" si="0"/>
        <v>0</v>
      </c>
      <c r="L31" s="193">
        <f t="shared" si="1"/>
        <v>0</v>
      </c>
      <c r="M31" s="174"/>
      <c r="N31" s="194"/>
      <c r="O31" s="238">
        <f t="shared" si="5"/>
        <v>268.89999999999998</v>
      </c>
      <c r="P31" s="239" t="s">
        <v>9</v>
      </c>
      <c r="Q31" s="178"/>
      <c r="R31" s="179"/>
      <c r="S31" s="230"/>
      <c r="T31" s="222"/>
      <c r="U31" s="124"/>
      <c r="V31" s="124"/>
      <c r="W31" s="135"/>
      <c r="X31" s="24"/>
      <c r="Y31" s="160"/>
      <c r="Z31" s="161"/>
      <c r="AA31" s="24"/>
      <c r="AB31" s="24"/>
      <c r="AC31" s="163"/>
      <c r="AD31" s="163"/>
      <c r="AE31" s="163"/>
      <c r="AF31" s="24"/>
      <c r="AG31" s="24"/>
      <c r="AH31" s="233"/>
      <c r="AI31" s="165"/>
      <c r="AJ31" s="163"/>
      <c r="AK31" s="301"/>
      <c r="AL31" s="124"/>
      <c r="AM31" s="124"/>
      <c r="AN31" s="22"/>
      <c r="AR31" s="92"/>
      <c r="AS31" s="11"/>
      <c r="AT31" s="11"/>
      <c r="AU31" s="11"/>
      <c r="AV31" s="2"/>
      <c r="AW31" s="2"/>
      <c r="AY31" s="2"/>
      <c r="AZ31" s="2"/>
      <c r="BA31" s="12"/>
      <c r="BB31" s="2"/>
    </row>
    <row r="32" spans="1:54" ht="19.5" thickBot="1" x14ac:dyDescent="0.35">
      <c r="A32" s="166">
        <v>44833</v>
      </c>
      <c r="B32" s="190"/>
      <c r="C32" s="179"/>
      <c r="D32" s="179"/>
      <c r="E32" s="175"/>
      <c r="F32" s="170">
        <f t="shared" si="3"/>
        <v>0</v>
      </c>
      <c r="G32" s="171">
        <f t="shared" si="4"/>
        <v>0</v>
      </c>
      <c r="H32" s="179"/>
      <c r="I32" s="191"/>
      <c r="J32" s="175"/>
      <c r="K32" s="192">
        <f t="shared" si="0"/>
        <v>0</v>
      </c>
      <c r="L32" s="193">
        <f t="shared" si="1"/>
        <v>0</v>
      </c>
      <c r="M32" s="240"/>
      <c r="N32" s="194"/>
      <c r="O32" s="238">
        <f t="shared" si="5"/>
        <v>268.89999999999998</v>
      </c>
      <c r="P32" s="241" t="s">
        <v>10</v>
      </c>
      <c r="Q32" s="242"/>
      <c r="R32" s="179"/>
      <c r="S32" s="230"/>
      <c r="T32" s="222"/>
      <c r="U32" s="124"/>
      <c r="V32" s="124"/>
      <c r="W32" s="135"/>
      <c r="X32" s="24"/>
      <c r="Y32" s="160"/>
      <c r="Z32" s="161"/>
      <c r="AA32" s="182" t="s">
        <v>17</v>
      </c>
      <c r="AB32" s="24"/>
      <c r="AC32" s="244"/>
      <c r="AD32" s="244"/>
      <c r="AE32" s="163"/>
      <c r="AF32" s="24"/>
      <c r="AG32" s="24"/>
      <c r="AH32" s="233"/>
      <c r="AI32" s="165"/>
      <c r="AJ32" s="163"/>
      <c r="AK32" s="163"/>
      <c r="AL32" s="303" t="s">
        <v>31</v>
      </c>
      <c r="AM32" s="304"/>
      <c r="AN32" s="36"/>
      <c r="AR32" s="2"/>
      <c r="AS32" s="11"/>
      <c r="AT32" s="11"/>
      <c r="AU32" s="11"/>
      <c r="AV32" s="2"/>
      <c r="AW32" s="2"/>
      <c r="AY32" s="2"/>
      <c r="AZ32" s="2"/>
      <c r="BA32" s="2"/>
      <c r="BB32" s="2"/>
    </row>
    <row r="33" spans="1:54" ht="19.5" thickBot="1" x14ac:dyDescent="0.35">
      <c r="A33" s="166"/>
      <c r="B33" s="245"/>
      <c r="C33" s="246"/>
      <c r="D33" s="246"/>
      <c r="E33" s="247"/>
      <c r="F33" s="170">
        <f t="shared" si="3"/>
        <v>0</v>
      </c>
      <c r="G33" s="171">
        <f t="shared" si="4"/>
        <v>0</v>
      </c>
      <c r="H33" s="248"/>
      <c r="I33" s="248"/>
      <c r="J33" s="247"/>
      <c r="K33" s="249">
        <f t="shared" si="0"/>
        <v>0</v>
      </c>
      <c r="L33" s="250">
        <f t="shared" si="1"/>
        <v>0</v>
      </c>
      <c r="M33" s="251"/>
      <c r="N33" s="252"/>
      <c r="O33" s="253">
        <f t="shared" si="5"/>
        <v>268.89999999999998</v>
      </c>
      <c r="P33" s="254">
        <f>SUM(O33)</f>
        <v>268.89999999999998</v>
      </c>
      <c r="Q33" s="255"/>
      <c r="R33" s="246"/>
      <c r="S33" s="256"/>
      <c r="T33" s="257"/>
      <c r="U33" s="124"/>
      <c r="V33" s="124"/>
      <c r="W33" s="135"/>
      <c r="X33" s="182">
        <v>1</v>
      </c>
      <c r="Y33" s="200"/>
      <c r="Z33" s="201"/>
      <c r="AA33" s="182"/>
      <c r="AB33" s="182"/>
      <c r="AC33" s="258"/>
      <c r="AD33" s="210"/>
      <c r="AE33" s="108">
        <f t="shared" ref="AE33:AE62" si="7">SUM(AC33:AD33)</f>
        <v>0</v>
      </c>
      <c r="AF33" s="182"/>
      <c r="AG33" s="182"/>
      <c r="AH33" s="202"/>
      <c r="AI33" s="203"/>
      <c r="AJ33" s="108">
        <v>0</v>
      </c>
      <c r="AK33" s="163"/>
      <c r="AL33" s="258">
        <f t="shared" ref="AL33:AL63" si="8">AC33</f>
        <v>0</v>
      </c>
      <c r="AM33" s="305">
        <v>1</v>
      </c>
      <c r="AN33" s="16"/>
      <c r="AR33" s="92"/>
      <c r="AS33" s="11"/>
      <c r="AT33" s="11"/>
      <c r="AU33" s="11"/>
      <c r="AV33" s="2"/>
      <c r="AW33" s="2"/>
      <c r="AY33" s="2"/>
      <c r="AZ33" s="2"/>
      <c r="BA33" s="2"/>
      <c r="BB33" s="2"/>
    </row>
    <row r="34" spans="1:54" ht="19.5" thickBot="1" x14ac:dyDescent="0.35">
      <c r="A34" s="124"/>
      <c r="B34" s="259">
        <f>SUM(B5:B33)</f>
        <v>0</v>
      </c>
      <c r="C34" s="260">
        <f t="shared" ref="C34:N34" si="9">SUM(C3:C33)</f>
        <v>0</v>
      </c>
      <c r="D34" s="261">
        <f t="shared" si="9"/>
        <v>0</v>
      </c>
      <c r="E34" s="261">
        <f t="shared" si="9"/>
        <v>0</v>
      </c>
      <c r="F34" s="262">
        <f t="shared" si="9"/>
        <v>0</v>
      </c>
      <c r="G34" s="263"/>
      <c r="H34" s="263">
        <f>SUM(H3:H33)</f>
        <v>0</v>
      </c>
      <c r="I34" s="263"/>
      <c r="J34" s="263">
        <f t="shared" si="9"/>
        <v>0</v>
      </c>
      <c r="K34" s="264">
        <f t="shared" si="9"/>
        <v>0</v>
      </c>
      <c r="L34" s="265">
        <f t="shared" si="9"/>
        <v>0</v>
      </c>
      <c r="M34" s="266">
        <f t="shared" si="9"/>
        <v>0</v>
      </c>
      <c r="N34" s="267">
        <f t="shared" si="9"/>
        <v>0</v>
      </c>
      <c r="O34" s="135"/>
      <c r="P34" s="135"/>
      <c r="Q34" s="124"/>
      <c r="R34" s="135"/>
      <c r="S34" s="124"/>
      <c r="T34" s="124"/>
      <c r="U34" s="124"/>
      <c r="V34" s="124"/>
      <c r="W34" s="135"/>
      <c r="X34" s="182">
        <v>2</v>
      </c>
      <c r="Y34" s="217"/>
      <c r="Z34" s="201"/>
      <c r="AA34" s="182"/>
      <c r="AB34" s="182"/>
      <c r="AC34" s="258"/>
      <c r="AD34" s="210"/>
      <c r="AE34" s="108">
        <f t="shared" si="7"/>
        <v>0</v>
      </c>
      <c r="AF34" s="182"/>
      <c r="AG34" s="216"/>
      <c r="AH34" s="202"/>
      <c r="AI34" s="203"/>
      <c r="AJ34" s="108">
        <f>AE34</f>
        <v>0</v>
      </c>
      <c r="AK34" s="163"/>
      <c r="AL34" s="258">
        <f t="shared" si="8"/>
        <v>0</v>
      </c>
      <c r="AM34" s="221">
        <v>2</v>
      </c>
      <c r="AN34" s="16"/>
      <c r="AR34" s="2"/>
      <c r="AS34" s="11"/>
      <c r="AT34" s="11"/>
      <c r="AU34" s="11"/>
      <c r="AV34" s="2"/>
      <c r="AW34" s="2"/>
      <c r="AY34" s="2"/>
      <c r="AZ34" s="2"/>
      <c r="BA34" s="2"/>
      <c r="BB34" s="2"/>
    </row>
    <row r="35" spans="1:54" ht="19.5" thickBot="1" x14ac:dyDescent="0.35">
      <c r="A35" s="269" t="s">
        <v>15</v>
      </c>
      <c r="B35" s="270">
        <f>SUM(B3:B33)</f>
        <v>0</v>
      </c>
      <c r="C35" s="270">
        <f>SUM(C34/1.06)</f>
        <v>0</v>
      </c>
      <c r="D35" s="270">
        <f>SUM(D34/1.12)</f>
        <v>0</v>
      </c>
      <c r="E35" s="270">
        <f>SUM(E34/1.21)</f>
        <v>0</v>
      </c>
      <c r="F35" s="270">
        <f>SUM(B35:E35)</f>
        <v>0</v>
      </c>
      <c r="G35" s="271">
        <f>SUM(G34:G34)</f>
        <v>0</v>
      </c>
      <c r="H35" s="135"/>
      <c r="I35" s="135"/>
      <c r="J35" s="179"/>
      <c r="K35" s="272"/>
      <c r="L35" s="273" t="s">
        <v>82</v>
      </c>
      <c r="M35" s="274"/>
      <c r="N35" s="275">
        <f>SUM(M34:N34)</f>
        <v>0</v>
      </c>
      <c r="O35" s="135"/>
      <c r="P35" s="135"/>
      <c r="Q35" s="124"/>
      <c r="R35" s="135"/>
      <c r="S35" s="124"/>
      <c r="T35" s="124"/>
      <c r="U35" s="124"/>
      <c r="V35" s="124"/>
      <c r="W35" s="135"/>
      <c r="X35" s="182">
        <v>3</v>
      </c>
      <c r="Y35" s="200"/>
      <c r="Z35" s="201"/>
      <c r="AA35" s="182"/>
      <c r="AB35" s="182"/>
      <c r="AC35" s="258"/>
      <c r="AD35" s="210"/>
      <c r="AE35" s="108">
        <f t="shared" si="7"/>
        <v>0</v>
      </c>
      <c r="AF35" s="182"/>
      <c r="AG35" s="182"/>
      <c r="AH35" s="202"/>
      <c r="AI35" s="203"/>
      <c r="AJ35" s="108">
        <f>AE35</f>
        <v>0</v>
      </c>
      <c r="AK35" s="163"/>
      <c r="AL35" s="258">
        <f t="shared" si="8"/>
        <v>0</v>
      </c>
      <c r="AM35" s="221">
        <v>3</v>
      </c>
      <c r="AN35" s="16"/>
      <c r="AR35" s="2"/>
      <c r="AS35" s="11"/>
      <c r="AT35" s="11"/>
      <c r="AU35" s="11"/>
      <c r="AV35" s="12"/>
      <c r="AW35" s="2"/>
      <c r="AY35" s="2"/>
      <c r="AZ35" s="2"/>
      <c r="BA35" s="2"/>
      <c r="BB35" s="2"/>
    </row>
    <row r="36" spans="1:54" ht="18.75" x14ac:dyDescent="0.3">
      <c r="A36" s="269" t="s">
        <v>16</v>
      </c>
      <c r="B36" s="276"/>
      <c r="C36" s="270">
        <f>SUM(C34-C35)</f>
        <v>0</v>
      </c>
      <c r="D36" s="270">
        <f>SUM(D34-D35)</f>
        <v>0</v>
      </c>
      <c r="E36" s="270">
        <f>SUM(E34-E35)</f>
        <v>0</v>
      </c>
      <c r="F36" s="270">
        <f>SUM(C36:E36)</f>
        <v>0</v>
      </c>
      <c r="G36" s="135"/>
      <c r="H36" s="135"/>
      <c r="I36" s="135"/>
      <c r="J36" s="135"/>
      <c r="K36" s="135"/>
      <c r="L36" s="135"/>
      <c r="M36" s="135"/>
      <c r="N36" s="135"/>
      <c r="O36" s="135"/>
      <c r="P36" s="135"/>
      <c r="Q36" s="124"/>
      <c r="R36" s="135"/>
      <c r="S36" s="124"/>
      <c r="T36" s="124"/>
      <c r="U36" s="124"/>
      <c r="V36" s="124"/>
      <c r="W36" s="135"/>
      <c r="X36" s="182">
        <v>4</v>
      </c>
      <c r="Y36" s="200"/>
      <c r="Z36" s="201"/>
      <c r="AA36" s="182"/>
      <c r="AB36" s="182"/>
      <c r="AC36" s="277"/>
      <c r="AD36" s="108"/>
      <c r="AE36" s="108">
        <f t="shared" si="7"/>
        <v>0</v>
      </c>
      <c r="AF36" s="182"/>
      <c r="AG36" s="182"/>
      <c r="AH36" s="202"/>
      <c r="AI36" s="203"/>
      <c r="AJ36" s="108">
        <v>0</v>
      </c>
      <c r="AK36" s="306"/>
      <c r="AL36" s="258">
        <f t="shared" si="8"/>
        <v>0</v>
      </c>
      <c r="AM36" s="221">
        <v>4</v>
      </c>
      <c r="AN36" s="16"/>
      <c r="AR36" s="12"/>
      <c r="AS36" s="11"/>
      <c r="AT36" s="11"/>
      <c r="AU36" s="11"/>
      <c r="AV36" s="12"/>
      <c r="AW36" s="2"/>
      <c r="AY36" s="2"/>
      <c r="AZ36" s="2"/>
      <c r="BA36" s="2"/>
      <c r="BB36" s="2"/>
    </row>
    <row r="37" spans="1:54" ht="18.75" x14ac:dyDescent="0.3">
      <c r="A37" s="124"/>
      <c r="B37" s="124"/>
      <c r="C37" s="124"/>
      <c r="D37" s="124"/>
      <c r="E37" s="124"/>
      <c r="F37" s="124"/>
      <c r="G37" s="124"/>
      <c r="H37" s="124"/>
      <c r="I37" s="124"/>
      <c r="J37" s="124"/>
      <c r="K37" s="124"/>
      <c r="L37" s="124"/>
      <c r="M37" s="124"/>
      <c r="N37" s="124"/>
      <c r="O37" s="124"/>
      <c r="P37" s="124"/>
      <c r="Q37" s="159"/>
      <c r="R37" s="135"/>
      <c r="S37" s="124"/>
      <c r="T37" s="124"/>
      <c r="U37" s="124"/>
      <c r="V37" s="124"/>
      <c r="W37" s="135"/>
      <c r="X37" s="182">
        <v>5</v>
      </c>
      <c r="Y37" s="217"/>
      <c r="Z37" s="201"/>
      <c r="AA37" s="182"/>
      <c r="AB37" s="221"/>
      <c r="AC37" s="258"/>
      <c r="AD37" s="210"/>
      <c r="AE37" s="108">
        <f t="shared" si="7"/>
        <v>0</v>
      </c>
      <c r="AF37" s="182"/>
      <c r="AG37" s="216"/>
      <c r="AH37" s="202"/>
      <c r="AI37" s="203"/>
      <c r="AJ37" s="108">
        <f>AE37</f>
        <v>0</v>
      </c>
      <c r="AK37" s="301"/>
      <c r="AL37" s="258">
        <f t="shared" si="8"/>
        <v>0</v>
      </c>
      <c r="AM37" s="221">
        <v>5</v>
      </c>
      <c r="AN37" s="22"/>
      <c r="AR37" s="12"/>
      <c r="AS37" s="11"/>
      <c r="AT37" s="11"/>
      <c r="AU37" s="11"/>
      <c r="AV37" s="12"/>
      <c r="AW37" s="2"/>
    </row>
    <row r="38" spans="1:54" ht="18.75" x14ac:dyDescent="0.3">
      <c r="A38" s="124"/>
      <c r="B38" s="124"/>
      <c r="C38" s="124"/>
      <c r="D38" s="124"/>
      <c r="E38" s="124"/>
      <c r="F38" s="124"/>
      <c r="G38" s="124"/>
      <c r="H38" s="124"/>
      <c r="I38" s="124"/>
      <c r="J38" s="124"/>
      <c r="K38" s="124"/>
      <c r="L38" s="124"/>
      <c r="M38" s="124"/>
      <c r="N38" s="124"/>
      <c r="O38" s="124"/>
      <c r="P38" s="124"/>
      <c r="Q38" s="124"/>
      <c r="R38" s="135"/>
      <c r="S38" s="124"/>
      <c r="T38" s="124"/>
      <c r="U38" s="124"/>
      <c r="V38" s="124"/>
      <c r="W38" s="135"/>
      <c r="X38" s="182">
        <v>6</v>
      </c>
      <c r="Y38" s="200"/>
      <c r="Z38" s="201"/>
      <c r="AA38" s="182"/>
      <c r="AB38" s="182"/>
      <c r="AC38" s="277"/>
      <c r="AD38" s="108"/>
      <c r="AE38" s="108">
        <f t="shared" si="7"/>
        <v>0</v>
      </c>
      <c r="AF38" s="182"/>
      <c r="AG38" s="216"/>
      <c r="AH38" s="202"/>
      <c r="AI38" s="203"/>
      <c r="AJ38" s="108">
        <v>0</v>
      </c>
      <c r="AK38" s="301"/>
      <c r="AL38" s="258">
        <f t="shared" si="8"/>
        <v>0</v>
      </c>
      <c r="AM38" s="221">
        <v>6</v>
      </c>
      <c r="AN38" s="16"/>
      <c r="AR38" s="2"/>
      <c r="AS38" s="11"/>
      <c r="AT38" s="11"/>
      <c r="AU38" s="11"/>
      <c r="AV38" s="12"/>
      <c r="AW38" s="2"/>
      <c r="BA38" s="7"/>
    </row>
    <row r="39" spans="1:54" ht="18.75" x14ac:dyDescent="0.3">
      <c r="A39" s="124"/>
      <c r="B39" s="124"/>
      <c r="C39" s="124"/>
      <c r="D39" s="124"/>
      <c r="E39" s="124"/>
      <c r="F39" s="124"/>
      <c r="G39" s="124"/>
      <c r="H39" s="124"/>
      <c r="I39" s="124"/>
      <c r="J39" s="124"/>
      <c r="K39" s="124"/>
      <c r="L39" s="124"/>
      <c r="M39" s="124"/>
      <c r="N39" s="124"/>
      <c r="O39" s="124"/>
      <c r="P39" s="124"/>
      <c r="Q39" s="124"/>
      <c r="R39" s="135"/>
      <c r="S39" s="124"/>
      <c r="T39" s="124"/>
      <c r="U39" s="124"/>
      <c r="V39" s="124"/>
      <c r="W39" s="135"/>
      <c r="X39" s="182">
        <v>7</v>
      </c>
      <c r="Y39" s="200"/>
      <c r="Z39" s="201"/>
      <c r="AA39" s="182"/>
      <c r="AB39" s="182"/>
      <c r="AC39" s="277"/>
      <c r="AD39" s="108"/>
      <c r="AE39" s="108">
        <f t="shared" si="7"/>
        <v>0</v>
      </c>
      <c r="AF39" s="182"/>
      <c r="AG39" s="182"/>
      <c r="AH39" s="202"/>
      <c r="AI39" s="203"/>
      <c r="AJ39" s="108">
        <f t="shared" ref="AJ39:AJ62" si="10">AE39</f>
        <v>0</v>
      </c>
      <c r="AK39" s="301"/>
      <c r="AL39" s="258">
        <f t="shared" si="8"/>
        <v>0</v>
      </c>
      <c r="AM39" s="221">
        <v>7</v>
      </c>
      <c r="AN39" s="16"/>
      <c r="AR39" s="2"/>
      <c r="AS39" s="11"/>
      <c r="AT39" s="11"/>
      <c r="AU39" s="11"/>
      <c r="AV39" s="12"/>
      <c r="AW39" s="2"/>
      <c r="BA39" s="7"/>
    </row>
    <row r="40" spans="1:54" ht="18.75" x14ac:dyDescent="0.3">
      <c r="A40" s="124"/>
      <c r="B40" s="124"/>
      <c r="C40" s="124"/>
      <c r="D40" s="124"/>
      <c r="E40" s="124"/>
      <c r="F40" s="124"/>
      <c r="G40" s="124"/>
      <c r="H40" s="124"/>
      <c r="I40" s="124"/>
      <c r="J40" s="124"/>
      <c r="K40" s="124"/>
      <c r="L40" s="124"/>
      <c r="M40" s="124"/>
      <c r="N40" s="324"/>
      <c r="O40" s="324"/>
      <c r="P40" s="124"/>
      <c r="Q40" s="124"/>
      <c r="R40" s="135"/>
      <c r="S40" s="124"/>
      <c r="T40" s="124"/>
      <c r="U40" s="124"/>
      <c r="V40" s="124"/>
      <c r="W40" s="135"/>
      <c r="X40" s="182">
        <v>8</v>
      </c>
      <c r="Y40" s="200"/>
      <c r="Z40" s="201"/>
      <c r="AA40" s="182"/>
      <c r="AB40" s="182"/>
      <c r="AC40" s="258"/>
      <c r="AD40" s="210"/>
      <c r="AE40" s="108">
        <f t="shared" si="7"/>
        <v>0</v>
      </c>
      <c r="AF40" s="182"/>
      <c r="AG40" s="182"/>
      <c r="AH40" s="202"/>
      <c r="AI40" s="203"/>
      <c r="AJ40" s="108">
        <f t="shared" si="10"/>
        <v>0</v>
      </c>
      <c r="AK40" s="301"/>
      <c r="AL40" s="258">
        <f t="shared" si="8"/>
        <v>0</v>
      </c>
      <c r="AM40" s="221">
        <v>8</v>
      </c>
      <c r="AN40" s="16"/>
      <c r="AR40" s="2"/>
      <c r="AS40" s="11"/>
      <c r="AT40" s="11"/>
      <c r="AU40" s="11"/>
      <c r="AV40" s="12"/>
      <c r="AW40" s="2"/>
    </row>
    <row r="41" spans="1:54" ht="18.75" x14ac:dyDescent="0.3">
      <c r="A41" s="124"/>
      <c r="B41" s="124"/>
      <c r="C41" s="124"/>
      <c r="D41" s="124"/>
      <c r="E41" s="124"/>
      <c r="F41" s="124"/>
      <c r="G41" s="124"/>
      <c r="H41" s="124"/>
      <c r="I41" s="124"/>
      <c r="J41" s="124"/>
      <c r="K41" s="124"/>
      <c r="L41" s="124"/>
      <c r="M41" s="124"/>
      <c r="N41" s="324"/>
      <c r="O41" s="324"/>
      <c r="P41" s="124"/>
      <c r="Q41" s="124"/>
      <c r="R41" s="135"/>
      <c r="S41" s="124"/>
      <c r="T41" s="124"/>
      <c r="U41" s="124"/>
      <c r="V41" s="124"/>
      <c r="W41" s="135"/>
      <c r="X41" s="182">
        <v>9</v>
      </c>
      <c r="Y41" s="200"/>
      <c r="Z41" s="201"/>
      <c r="AA41" s="182"/>
      <c r="AB41" s="182"/>
      <c r="AC41" s="277"/>
      <c r="AD41" s="108"/>
      <c r="AE41" s="108">
        <f t="shared" si="7"/>
        <v>0</v>
      </c>
      <c r="AF41" s="182"/>
      <c r="AG41" s="182"/>
      <c r="AH41" s="202"/>
      <c r="AI41" s="203"/>
      <c r="AJ41" s="108">
        <f t="shared" si="10"/>
        <v>0</v>
      </c>
      <c r="AK41" s="301"/>
      <c r="AL41" s="258">
        <f t="shared" si="8"/>
        <v>0</v>
      </c>
      <c r="AM41" s="221">
        <v>9</v>
      </c>
      <c r="AN41" s="16"/>
      <c r="AR41" s="2"/>
      <c r="AS41" s="11"/>
      <c r="AT41" s="11"/>
      <c r="AU41" s="11"/>
      <c r="AV41" s="12"/>
      <c r="AW41" s="2"/>
    </row>
    <row r="42" spans="1:54" ht="18.75" x14ac:dyDescent="0.3">
      <c r="A42" s="124"/>
      <c r="B42" s="124"/>
      <c r="C42" s="124"/>
      <c r="D42" s="124"/>
      <c r="E42" s="124"/>
      <c r="F42" s="124"/>
      <c r="G42" s="124"/>
      <c r="H42" s="124"/>
      <c r="I42" s="124" t="s">
        <v>14</v>
      </c>
      <c r="J42" s="124"/>
      <c r="K42" s="124"/>
      <c r="L42" s="124"/>
      <c r="M42" s="124"/>
      <c r="N42" s="324"/>
      <c r="O42" s="324"/>
      <c r="P42" s="124"/>
      <c r="Q42" s="124"/>
      <c r="R42" s="135"/>
      <c r="S42" s="124"/>
      <c r="T42" s="124"/>
      <c r="U42" s="124"/>
      <c r="V42" s="124"/>
      <c r="W42" s="135"/>
      <c r="X42" s="182">
        <v>10</v>
      </c>
      <c r="Y42" s="200"/>
      <c r="Z42" s="201"/>
      <c r="AA42" s="182"/>
      <c r="AB42" s="182"/>
      <c r="AC42" s="258"/>
      <c r="AD42" s="210"/>
      <c r="AE42" s="108">
        <f t="shared" si="7"/>
        <v>0</v>
      </c>
      <c r="AF42" s="182"/>
      <c r="AG42" s="182"/>
      <c r="AH42" s="202"/>
      <c r="AI42" s="203"/>
      <c r="AJ42" s="108">
        <f t="shared" si="10"/>
        <v>0</v>
      </c>
      <c r="AK42" s="163"/>
      <c r="AL42" s="258">
        <f t="shared" si="8"/>
        <v>0</v>
      </c>
      <c r="AM42" s="221">
        <v>10</v>
      </c>
      <c r="AN42" s="16"/>
      <c r="AR42" s="2"/>
      <c r="AS42" s="11"/>
      <c r="AT42" s="11"/>
      <c r="AU42" s="11"/>
      <c r="AV42" s="2"/>
      <c r="AW42" s="2"/>
    </row>
    <row r="43" spans="1:54" ht="15.75" x14ac:dyDescent="0.25">
      <c r="A43" s="124"/>
      <c r="B43" s="124"/>
      <c r="C43" s="279"/>
      <c r="D43" s="279"/>
      <c r="E43" s="124"/>
      <c r="F43" s="124"/>
      <c r="G43" s="124"/>
      <c r="H43" s="124"/>
      <c r="I43" s="124"/>
      <c r="J43" s="124"/>
      <c r="K43" s="124"/>
      <c r="L43" s="124"/>
      <c r="M43" s="124"/>
      <c r="N43" s="324"/>
      <c r="O43" s="325"/>
      <c r="P43" s="124"/>
      <c r="Q43" s="124"/>
      <c r="R43" s="135"/>
      <c r="S43" s="124"/>
      <c r="T43" s="124"/>
      <c r="U43" s="124"/>
      <c r="V43" s="124"/>
      <c r="W43" s="135"/>
      <c r="X43" s="182">
        <v>11</v>
      </c>
      <c r="Y43" s="200"/>
      <c r="Z43" s="201"/>
      <c r="AA43" s="182"/>
      <c r="AB43" s="182"/>
      <c r="AC43" s="258"/>
      <c r="AD43" s="210"/>
      <c r="AE43" s="108">
        <f t="shared" si="7"/>
        <v>0</v>
      </c>
      <c r="AF43" s="182"/>
      <c r="AG43" s="182"/>
      <c r="AH43" s="202"/>
      <c r="AI43" s="203"/>
      <c r="AJ43" s="108">
        <f t="shared" si="10"/>
        <v>0</v>
      </c>
      <c r="AK43" s="23"/>
      <c r="AL43" s="258">
        <f t="shared" si="8"/>
        <v>0</v>
      </c>
      <c r="AM43" s="221">
        <v>11</v>
      </c>
      <c r="AN43" s="38"/>
      <c r="AR43" s="2"/>
      <c r="AS43" s="11"/>
      <c r="AT43" s="11"/>
      <c r="AU43" s="11"/>
      <c r="AV43" s="2"/>
    </row>
    <row r="44" spans="1:54" ht="15.75" x14ac:dyDescent="0.25">
      <c r="A44" s="124"/>
      <c r="B44" s="124"/>
      <c r="C44" s="124"/>
      <c r="D44" s="124"/>
      <c r="E44" s="124"/>
      <c r="F44" s="124"/>
      <c r="G44" s="124"/>
      <c r="H44" s="124"/>
      <c r="I44" s="124"/>
      <c r="J44" s="135"/>
      <c r="K44" s="124"/>
      <c r="L44" s="124"/>
      <c r="M44" s="124"/>
      <c r="N44" s="324"/>
      <c r="O44" s="324"/>
      <c r="P44" s="124"/>
      <c r="Q44" s="124"/>
      <c r="R44" s="135"/>
      <c r="S44" s="124"/>
      <c r="T44" s="124"/>
      <c r="U44" s="124"/>
      <c r="V44" s="124"/>
      <c r="W44" s="135"/>
      <c r="X44" s="182">
        <v>12</v>
      </c>
      <c r="Y44" s="200"/>
      <c r="Z44" s="201"/>
      <c r="AA44" s="221"/>
      <c r="AB44" s="182"/>
      <c r="AC44" s="258"/>
      <c r="AD44" s="210"/>
      <c r="AE44" s="108">
        <f t="shared" si="7"/>
        <v>0</v>
      </c>
      <c r="AF44" s="182"/>
      <c r="AG44" s="182"/>
      <c r="AH44" s="202"/>
      <c r="AI44" s="203"/>
      <c r="AJ44" s="108">
        <f t="shared" si="10"/>
        <v>0</v>
      </c>
      <c r="AK44" s="25"/>
      <c r="AL44" s="258">
        <f t="shared" si="8"/>
        <v>0</v>
      </c>
      <c r="AM44" s="221">
        <v>12</v>
      </c>
      <c r="AN44" s="28"/>
      <c r="AR44" s="2"/>
      <c r="AS44" s="11"/>
      <c r="AT44" s="11"/>
      <c r="AU44" s="11"/>
      <c r="AV44" s="2"/>
    </row>
    <row r="45" spans="1:54" ht="15.75" x14ac:dyDescent="0.25">
      <c r="A45" s="135"/>
      <c r="B45" s="135"/>
      <c r="C45" s="135"/>
      <c r="D45" s="135"/>
      <c r="E45" s="135"/>
      <c r="F45" s="135"/>
      <c r="G45" s="135"/>
      <c r="H45" s="135"/>
      <c r="I45" s="135"/>
      <c r="J45" s="135"/>
      <c r="K45" s="135"/>
      <c r="L45" s="135"/>
      <c r="M45" s="135"/>
      <c r="N45" s="326"/>
      <c r="O45" s="327"/>
      <c r="P45" s="135"/>
      <c r="Q45" s="124"/>
      <c r="R45" s="135"/>
      <c r="S45" s="124"/>
      <c r="T45" s="124"/>
      <c r="U45" s="124"/>
      <c r="V45" s="124"/>
      <c r="W45" s="135"/>
      <c r="X45" s="182">
        <v>13</v>
      </c>
      <c r="Y45" s="200"/>
      <c r="Z45" s="201"/>
      <c r="AA45" s="182"/>
      <c r="AB45" s="182"/>
      <c r="AC45" s="258"/>
      <c r="AD45" s="210"/>
      <c r="AE45" s="108">
        <f t="shared" si="7"/>
        <v>0</v>
      </c>
      <c r="AF45" s="182"/>
      <c r="AG45" s="208"/>
      <c r="AH45" s="202"/>
      <c r="AI45" s="203"/>
      <c r="AJ45" s="108">
        <f t="shared" si="10"/>
        <v>0</v>
      </c>
      <c r="AK45" s="25"/>
      <c r="AL45" s="258">
        <f t="shared" si="8"/>
        <v>0</v>
      </c>
      <c r="AM45" s="221">
        <v>13</v>
      </c>
      <c r="AN45" s="32"/>
      <c r="AR45" s="2"/>
      <c r="AS45" s="11"/>
      <c r="AT45" s="11"/>
      <c r="AU45" s="11"/>
      <c r="AV45" s="2"/>
    </row>
    <row r="46" spans="1:54" ht="18.75" x14ac:dyDescent="0.3">
      <c r="A46" s="135"/>
      <c r="B46" s="135"/>
      <c r="C46" s="135"/>
      <c r="D46" s="135"/>
      <c r="E46" s="135"/>
      <c r="F46" s="135"/>
      <c r="G46" s="135"/>
      <c r="H46" s="135"/>
      <c r="I46" s="135"/>
      <c r="J46" s="124"/>
      <c r="K46" s="135"/>
      <c r="L46" s="135"/>
      <c r="M46" s="135"/>
      <c r="N46" s="135"/>
      <c r="O46" s="135"/>
      <c r="P46" s="135" t="s">
        <v>14</v>
      </c>
      <c r="Q46" s="124"/>
      <c r="R46" s="135"/>
      <c r="S46" s="124"/>
      <c r="T46" s="124"/>
      <c r="U46" s="124"/>
      <c r="V46" s="124"/>
      <c r="W46" s="135"/>
      <c r="X46" s="182">
        <v>14</v>
      </c>
      <c r="Y46" s="200"/>
      <c r="Z46" s="201"/>
      <c r="AA46" s="182"/>
      <c r="AB46" s="182"/>
      <c r="AC46" s="258"/>
      <c r="AD46" s="210"/>
      <c r="AE46" s="108">
        <f t="shared" si="7"/>
        <v>0</v>
      </c>
      <c r="AF46" s="182"/>
      <c r="AG46" s="226"/>
      <c r="AH46" s="202"/>
      <c r="AI46" s="203"/>
      <c r="AJ46" s="108">
        <f t="shared" si="10"/>
        <v>0</v>
      </c>
      <c r="AK46" s="163"/>
      <c r="AL46" s="258">
        <f t="shared" si="8"/>
        <v>0</v>
      </c>
      <c r="AM46" s="221">
        <v>14</v>
      </c>
      <c r="AN46" s="34"/>
      <c r="AR46" s="2"/>
      <c r="AS46" s="11"/>
      <c r="AT46" s="11"/>
      <c r="AU46" s="11"/>
      <c r="AV46" s="2"/>
    </row>
    <row r="47" spans="1:54" ht="15.75" x14ac:dyDescent="0.25">
      <c r="A47" s="280"/>
      <c r="B47" s="135"/>
      <c r="C47" s="135"/>
      <c r="D47" s="135"/>
      <c r="E47" s="135"/>
      <c r="F47" s="281"/>
      <c r="G47" s="135"/>
      <c r="H47" s="135"/>
      <c r="I47" s="135"/>
      <c r="J47" s="135"/>
      <c r="K47" s="135"/>
      <c r="L47" s="135"/>
      <c r="M47" s="135"/>
      <c r="N47" s="135"/>
      <c r="O47" s="135"/>
      <c r="P47" s="135"/>
      <c r="Q47" s="124"/>
      <c r="R47" s="135"/>
      <c r="S47" s="124"/>
      <c r="T47" s="124"/>
      <c r="U47" s="124"/>
      <c r="V47" s="124"/>
      <c r="W47" s="135"/>
      <c r="X47" s="182">
        <v>15</v>
      </c>
      <c r="Y47" s="200"/>
      <c r="Z47" s="201"/>
      <c r="AA47" s="182"/>
      <c r="AB47" s="228"/>
      <c r="AC47" s="258"/>
      <c r="AD47" s="210"/>
      <c r="AE47" s="108">
        <f t="shared" si="7"/>
        <v>0</v>
      </c>
      <c r="AF47" s="182"/>
      <c r="AG47" s="182"/>
      <c r="AH47" s="202"/>
      <c r="AI47" s="203"/>
      <c r="AJ47" s="108">
        <f t="shared" si="10"/>
        <v>0</v>
      </c>
      <c r="AK47" s="23"/>
      <c r="AL47" s="258">
        <f t="shared" si="8"/>
        <v>0</v>
      </c>
      <c r="AM47" s="221">
        <v>15</v>
      </c>
      <c r="AN47" s="24"/>
      <c r="BA47" s="7"/>
    </row>
    <row r="48" spans="1:54" ht="15.75" x14ac:dyDescent="0.25">
      <c r="A48" s="280"/>
      <c r="B48" s="135"/>
      <c r="C48" s="135"/>
      <c r="D48" s="135"/>
      <c r="E48" s="135"/>
      <c r="F48" s="135"/>
      <c r="G48" s="135"/>
      <c r="H48" s="135"/>
      <c r="I48" s="135"/>
      <c r="J48" s="135"/>
      <c r="K48" s="135"/>
      <c r="L48" s="135"/>
      <c r="M48" s="135"/>
      <c r="N48" s="135"/>
      <c r="O48" s="135"/>
      <c r="P48" s="135"/>
      <c r="Q48" s="124"/>
      <c r="R48" s="135"/>
      <c r="S48" s="124"/>
      <c r="T48" s="124"/>
      <c r="U48" s="124"/>
      <c r="V48" s="124"/>
      <c r="W48" s="135"/>
      <c r="X48" s="182">
        <v>16</v>
      </c>
      <c r="Y48" s="200"/>
      <c r="Z48" s="201"/>
      <c r="AA48" s="182"/>
      <c r="AB48" s="182"/>
      <c r="AC48" s="258"/>
      <c r="AD48" s="210"/>
      <c r="AE48" s="108">
        <f t="shared" si="7"/>
        <v>0</v>
      </c>
      <c r="AF48" s="182"/>
      <c r="AG48" s="182"/>
      <c r="AH48" s="202"/>
      <c r="AI48" s="203"/>
      <c r="AJ48" s="108">
        <f t="shared" si="10"/>
        <v>0</v>
      </c>
      <c r="AK48" s="23"/>
      <c r="AL48" s="258">
        <f t="shared" si="8"/>
        <v>0</v>
      </c>
      <c r="AM48" s="221">
        <v>16</v>
      </c>
      <c r="AN48" s="24"/>
      <c r="AY48" s="7"/>
      <c r="BA48" s="7"/>
    </row>
    <row r="49" spans="1:54" ht="18.75" x14ac:dyDescent="0.3">
      <c r="A49" s="280"/>
      <c r="B49" s="135"/>
      <c r="C49" s="135"/>
      <c r="D49" s="135"/>
      <c r="E49" s="135"/>
      <c r="F49" s="281"/>
      <c r="G49" s="135"/>
      <c r="H49" s="135"/>
      <c r="I49" s="135"/>
      <c r="J49" s="135"/>
      <c r="K49" s="135"/>
      <c r="L49" s="135"/>
      <c r="M49" s="135"/>
      <c r="N49" s="135"/>
      <c r="O49" s="135"/>
      <c r="P49" s="135"/>
      <c r="Q49" s="124"/>
      <c r="R49" s="135"/>
      <c r="S49" s="124"/>
      <c r="T49" s="124"/>
      <c r="U49" s="124"/>
      <c r="V49" s="124"/>
      <c r="W49" s="135"/>
      <c r="X49" s="182">
        <v>17</v>
      </c>
      <c r="Y49" s="223"/>
      <c r="Z49" s="224"/>
      <c r="AA49" s="208"/>
      <c r="AB49" s="208"/>
      <c r="AC49" s="277"/>
      <c r="AD49" s="108"/>
      <c r="AE49" s="108">
        <f t="shared" si="7"/>
        <v>0</v>
      </c>
      <c r="AF49" s="208"/>
      <c r="AG49" s="208"/>
      <c r="AH49" s="202"/>
      <c r="AI49" s="203"/>
      <c r="AJ49" s="108">
        <f t="shared" si="10"/>
        <v>0</v>
      </c>
      <c r="AK49" s="163"/>
      <c r="AL49" s="258">
        <f t="shared" si="8"/>
        <v>0</v>
      </c>
      <c r="AM49" s="221">
        <v>17</v>
      </c>
      <c r="AN49" s="22"/>
      <c r="AY49" s="7"/>
      <c r="BA49" s="7"/>
    </row>
    <row r="50" spans="1:54" ht="18.75" x14ac:dyDescent="0.3">
      <c r="A50" s="280"/>
      <c r="B50" s="135"/>
      <c r="C50" s="135"/>
      <c r="D50" s="135"/>
      <c r="E50" s="135"/>
      <c r="F50" s="281"/>
      <c r="G50" s="135"/>
      <c r="H50" s="135"/>
      <c r="I50" s="135"/>
      <c r="J50" s="135"/>
      <c r="K50" s="135"/>
      <c r="L50" s="135"/>
      <c r="M50" s="135"/>
      <c r="N50" s="135"/>
      <c r="O50" s="135"/>
      <c r="P50" s="135"/>
      <c r="Q50" s="124"/>
      <c r="R50" s="135"/>
      <c r="S50" s="124"/>
      <c r="T50" s="124"/>
      <c r="U50" s="124"/>
      <c r="V50" s="124"/>
      <c r="W50" s="135"/>
      <c r="X50" s="182">
        <v>18</v>
      </c>
      <c r="Y50" s="200"/>
      <c r="Z50" s="201"/>
      <c r="AA50" s="182"/>
      <c r="AB50" s="182"/>
      <c r="AC50" s="277"/>
      <c r="AD50" s="108"/>
      <c r="AE50" s="108">
        <f t="shared" si="7"/>
        <v>0</v>
      </c>
      <c r="AF50" s="182"/>
      <c r="AG50" s="216"/>
      <c r="AH50" s="202"/>
      <c r="AI50" s="203"/>
      <c r="AJ50" s="108">
        <f t="shared" si="10"/>
        <v>0</v>
      </c>
      <c r="AK50" s="163"/>
      <c r="AL50" s="258">
        <f t="shared" si="8"/>
        <v>0</v>
      </c>
      <c r="AM50" s="221">
        <v>18</v>
      </c>
      <c r="AN50" s="22"/>
      <c r="AY50" s="2"/>
    </row>
    <row r="51" spans="1:54" ht="18.75" x14ac:dyDescent="0.3">
      <c r="A51" s="280"/>
      <c r="B51" s="135"/>
      <c r="C51" s="135"/>
      <c r="D51" s="135"/>
      <c r="E51" s="135"/>
      <c r="F51" s="281"/>
      <c r="G51" s="135"/>
      <c r="H51" s="135"/>
      <c r="I51" s="135"/>
      <c r="J51" s="135"/>
      <c r="K51" s="135"/>
      <c r="L51" s="135"/>
      <c r="M51" s="135"/>
      <c r="N51" s="135"/>
      <c r="O51" s="135"/>
      <c r="P51" s="135"/>
      <c r="Q51" s="124"/>
      <c r="R51" s="135"/>
      <c r="S51" s="124"/>
      <c r="T51" s="124"/>
      <c r="U51" s="124"/>
      <c r="V51" s="124"/>
      <c r="W51" s="135"/>
      <c r="X51" s="182">
        <v>19</v>
      </c>
      <c r="Y51" s="200"/>
      <c r="Z51" s="201"/>
      <c r="AA51" s="182"/>
      <c r="AB51" s="221"/>
      <c r="AC51" s="277"/>
      <c r="AD51" s="108"/>
      <c r="AE51" s="108">
        <f t="shared" si="7"/>
        <v>0</v>
      </c>
      <c r="AF51" s="182"/>
      <c r="AG51" s="182"/>
      <c r="AH51" s="202"/>
      <c r="AI51" s="203"/>
      <c r="AJ51" s="108">
        <f t="shared" si="10"/>
        <v>0</v>
      </c>
      <c r="AK51" s="163"/>
      <c r="AL51" s="258">
        <f t="shared" si="8"/>
        <v>0</v>
      </c>
      <c r="AM51" s="221">
        <v>19</v>
      </c>
      <c r="AN51" s="22"/>
      <c r="AR51" s="2"/>
      <c r="AS51" s="2"/>
      <c r="AT51" s="2"/>
      <c r="AU51" s="2"/>
      <c r="AV51" s="2"/>
      <c r="AY51" s="2"/>
      <c r="AZ51" s="2"/>
      <c r="BA51" s="2"/>
      <c r="BB51" s="2"/>
    </row>
    <row r="52" spans="1:54" ht="18.75" x14ac:dyDescent="0.3">
      <c r="A52" s="280"/>
      <c r="B52" s="135"/>
      <c r="C52" s="135"/>
      <c r="D52" s="135"/>
      <c r="E52" s="135"/>
      <c r="F52" s="135"/>
      <c r="G52" s="135"/>
      <c r="H52" s="135"/>
      <c r="I52" s="135"/>
      <c r="J52" s="135"/>
      <c r="K52" s="135"/>
      <c r="L52" s="135"/>
      <c r="M52" s="135"/>
      <c r="N52" s="135"/>
      <c r="O52" s="135"/>
      <c r="P52" s="135"/>
      <c r="Q52" s="124"/>
      <c r="R52" s="135"/>
      <c r="S52" s="124"/>
      <c r="T52" s="124"/>
      <c r="U52" s="124"/>
      <c r="V52" s="124"/>
      <c r="W52" s="135"/>
      <c r="X52" s="182">
        <v>20</v>
      </c>
      <c r="Y52" s="200"/>
      <c r="Z52" s="201"/>
      <c r="AA52" s="182"/>
      <c r="AB52" s="182"/>
      <c r="AC52" s="277"/>
      <c r="AD52" s="108"/>
      <c r="AE52" s="108">
        <f t="shared" si="7"/>
        <v>0</v>
      </c>
      <c r="AF52" s="182"/>
      <c r="AG52" s="182"/>
      <c r="AH52" s="202"/>
      <c r="AI52" s="203"/>
      <c r="AJ52" s="108">
        <f t="shared" si="10"/>
        <v>0</v>
      </c>
      <c r="AK52" s="163"/>
      <c r="AL52" s="258">
        <f t="shared" si="8"/>
        <v>0</v>
      </c>
      <c r="AM52" s="221">
        <v>20</v>
      </c>
      <c r="AN52" s="22"/>
      <c r="AR52" s="92"/>
      <c r="AS52" s="11"/>
      <c r="AT52" s="11"/>
      <c r="AU52" s="2"/>
      <c r="AV52" s="2"/>
      <c r="AY52" s="2"/>
      <c r="AZ52" s="2"/>
      <c r="BA52" s="12"/>
      <c r="BB52" s="2"/>
    </row>
    <row r="53" spans="1:54" ht="18.75" x14ac:dyDescent="0.3">
      <c r="A53" s="280"/>
      <c r="B53" s="135"/>
      <c r="C53" s="135"/>
      <c r="D53" s="135"/>
      <c r="E53" s="135"/>
      <c r="F53" s="135"/>
      <c r="G53" s="135"/>
      <c r="H53" s="135"/>
      <c r="I53" s="135"/>
      <c r="J53" s="135"/>
      <c r="K53" s="135"/>
      <c r="L53" s="135"/>
      <c r="M53" s="135"/>
      <c r="N53" s="135"/>
      <c r="O53" s="135"/>
      <c r="P53" s="135"/>
      <c r="Q53" s="124"/>
      <c r="R53" s="135"/>
      <c r="S53" s="124"/>
      <c r="T53" s="124"/>
      <c r="U53" s="124"/>
      <c r="V53" s="124"/>
      <c r="W53" s="135"/>
      <c r="X53" s="182">
        <v>21</v>
      </c>
      <c r="Y53" s="200"/>
      <c r="Z53" s="201"/>
      <c r="AA53" s="182"/>
      <c r="AB53" s="225"/>
      <c r="AC53" s="277"/>
      <c r="AD53" s="108"/>
      <c r="AE53" s="108">
        <f t="shared" si="7"/>
        <v>0</v>
      </c>
      <c r="AF53" s="182"/>
      <c r="AG53" s="182"/>
      <c r="AH53" s="202"/>
      <c r="AI53" s="203"/>
      <c r="AJ53" s="108">
        <f t="shared" si="10"/>
        <v>0</v>
      </c>
      <c r="AK53" s="163"/>
      <c r="AL53" s="258">
        <f t="shared" si="8"/>
        <v>0</v>
      </c>
      <c r="AM53" s="221">
        <v>21</v>
      </c>
      <c r="AN53" s="16"/>
      <c r="AR53" s="92"/>
      <c r="AS53" s="11"/>
      <c r="AT53" s="11"/>
      <c r="AU53" s="2"/>
      <c r="AV53" s="2"/>
      <c r="AY53" s="12"/>
      <c r="AZ53" s="2"/>
      <c r="BA53" s="12"/>
      <c r="BB53" s="2"/>
    </row>
    <row r="54" spans="1:54" ht="18.75" x14ac:dyDescent="0.3">
      <c r="A54" s="280"/>
      <c r="B54" s="135"/>
      <c r="C54" s="135"/>
      <c r="D54" s="135"/>
      <c r="E54" s="135"/>
      <c r="F54" s="135"/>
      <c r="G54" s="135"/>
      <c r="H54" s="135"/>
      <c r="I54" s="135"/>
      <c r="J54" s="135"/>
      <c r="K54" s="135"/>
      <c r="L54" s="135"/>
      <c r="M54" s="135"/>
      <c r="N54" s="135"/>
      <c r="O54" s="135"/>
      <c r="P54" s="135"/>
      <c r="Q54" s="124"/>
      <c r="R54" s="135"/>
      <c r="S54" s="124"/>
      <c r="T54" s="124"/>
      <c r="U54" s="124"/>
      <c r="V54" s="124"/>
      <c r="W54" s="135"/>
      <c r="X54" s="182">
        <v>22</v>
      </c>
      <c r="Y54" s="200"/>
      <c r="Z54" s="201"/>
      <c r="AA54" s="182"/>
      <c r="AB54" s="182"/>
      <c r="AC54" s="277"/>
      <c r="AD54" s="108"/>
      <c r="AE54" s="108">
        <f t="shared" si="7"/>
        <v>0</v>
      </c>
      <c r="AF54" s="182"/>
      <c r="AG54" s="182"/>
      <c r="AH54" s="202"/>
      <c r="AI54" s="203"/>
      <c r="AJ54" s="108">
        <f t="shared" si="10"/>
        <v>0</v>
      </c>
      <c r="AK54" s="163"/>
      <c r="AL54" s="258">
        <f t="shared" si="8"/>
        <v>0</v>
      </c>
      <c r="AM54" s="221">
        <v>22</v>
      </c>
      <c r="AN54" s="22"/>
      <c r="AR54" s="92"/>
      <c r="AS54" s="11"/>
      <c r="AT54" s="11"/>
      <c r="AU54" s="2"/>
      <c r="AV54" s="2"/>
      <c r="AY54" s="12"/>
      <c r="AZ54" s="2"/>
      <c r="BA54" s="12"/>
      <c r="BB54" s="2"/>
    </row>
    <row r="55" spans="1:54" ht="18.75" x14ac:dyDescent="0.3">
      <c r="A55" s="280"/>
      <c r="B55" s="135"/>
      <c r="C55" s="135"/>
      <c r="D55" s="135"/>
      <c r="E55" s="135"/>
      <c r="F55" s="135"/>
      <c r="G55" s="135"/>
      <c r="H55" s="135"/>
      <c r="I55" s="135"/>
      <c r="J55" s="135"/>
      <c r="K55" s="135"/>
      <c r="L55" s="135"/>
      <c r="M55" s="135"/>
      <c r="N55" s="135"/>
      <c r="O55" s="135"/>
      <c r="P55" s="135"/>
      <c r="Q55" s="124"/>
      <c r="R55" s="135"/>
      <c r="S55" s="124"/>
      <c r="T55" s="124"/>
      <c r="U55" s="124"/>
      <c r="V55" s="124"/>
      <c r="W55" s="135"/>
      <c r="X55" s="182">
        <v>23</v>
      </c>
      <c r="Y55" s="217"/>
      <c r="Z55" s="201"/>
      <c r="AA55" s="182"/>
      <c r="AB55" s="221"/>
      <c r="AC55" s="277"/>
      <c r="AD55" s="108"/>
      <c r="AE55" s="108">
        <f t="shared" si="7"/>
        <v>0</v>
      </c>
      <c r="AF55" s="182"/>
      <c r="AG55" s="216"/>
      <c r="AH55" s="202"/>
      <c r="AI55" s="203"/>
      <c r="AJ55" s="108">
        <f t="shared" si="10"/>
        <v>0</v>
      </c>
      <c r="AK55" s="163"/>
      <c r="AL55" s="258">
        <f t="shared" si="8"/>
        <v>0</v>
      </c>
      <c r="AM55" s="221">
        <v>23</v>
      </c>
      <c r="AN55" s="22"/>
      <c r="AR55" s="92"/>
      <c r="AS55" s="2"/>
      <c r="AT55" s="2"/>
      <c r="AU55" s="2"/>
      <c r="AV55" s="2"/>
      <c r="AY55" s="2"/>
      <c r="AZ55" s="2"/>
      <c r="BA55" s="12"/>
      <c r="BB55" s="2"/>
    </row>
    <row r="56" spans="1:54" ht="18.75" x14ac:dyDescent="0.3">
      <c r="A56" s="280"/>
      <c r="B56" s="135"/>
      <c r="C56" s="135"/>
      <c r="D56" s="135"/>
      <c r="E56" s="135"/>
      <c r="F56" s="135"/>
      <c r="G56" s="135"/>
      <c r="H56" s="135"/>
      <c r="I56" s="135"/>
      <c r="J56" s="135"/>
      <c r="K56" s="135"/>
      <c r="L56" s="135"/>
      <c r="M56" s="135"/>
      <c r="N56" s="135"/>
      <c r="O56" s="135"/>
      <c r="P56" s="135"/>
      <c r="Q56" s="124"/>
      <c r="R56" s="135"/>
      <c r="S56" s="124"/>
      <c r="T56" s="124"/>
      <c r="U56" s="124"/>
      <c r="V56" s="124"/>
      <c r="W56" s="135"/>
      <c r="X56" s="182">
        <v>24</v>
      </c>
      <c r="Y56" s="200"/>
      <c r="Z56" s="201"/>
      <c r="AA56" s="182"/>
      <c r="AB56" s="182"/>
      <c r="AC56" s="277"/>
      <c r="AD56" s="108"/>
      <c r="AE56" s="108">
        <f t="shared" si="7"/>
        <v>0</v>
      </c>
      <c r="AF56" s="182"/>
      <c r="AG56" s="182"/>
      <c r="AH56" s="202"/>
      <c r="AI56" s="203"/>
      <c r="AJ56" s="108">
        <f t="shared" si="10"/>
        <v>0</v>
      </c>
      <c r="AK56" s="301"/>
      <c r="AL56" s="258">
        <f t="shared" si="8"/>
        <v>0</v>
      </c>
      <c r="AM56" s="221">
        <v>24</v>
      </c>
      <c r="AN56" s="22"/>
      <c r="AR56" s="2"/>
      <c r="AS56" s="2"/>
      <c r="AT56" s="2"/>
      <c r="AU56" s="2"/>
      <c r="AV56" s="2"/>
      <c r="AY56" s="2"/>
      <c r="AZ56" s="2"/>
      <c r="BA56" s="2"/>
      <c r="BB56" s="2"/>
    </row>
    <row r="57" spans="1:54" ht="18.75" x14ac:dyDescent="0.3">
      <c r="A57" s="280"/>
      <c r="B57" s="135"/>
      <c r="C57" s="135"/>
      <c r="D57" s="135"/>
      <c r="E57" s="135"/>
      <c r="F57" s="135"/>
      <c r="G57" s="135"/>
      <c r="H57" s="135"/>
      <c r="I57" s="135"/>
      <c r="J57" s="135"/>
      <c r="K57" s="135"/>
      <c r="L57" s="135"/>
      <c r="M57" s="135"/>
      <c r="N57" s="135"/>
      <c r="O57" s="135"/>
      <c r="P57" s="135"/>
      <c r="Q57" s="124"/>
      <c r="R57" s="135"/>
      <c r="S57" s="124"/>
      <c r="T57" s="124"/>
      <c r="U57" s="124"/>
      <c r="V57" s="124"/>
      <c r="W57" s="135"/>
      <c r="X57" s="182">
        <v>25</v>
      </c>
      <c r="Y57" s="200"/>
      <c r="Z57" s="201"/>
      <c r="AA57" s="182"/>
      <c r="AB57" s="182"/>
      <c r="AC57" s="277"/>
      <c r="AD57" s="108"/>
      <c r="AE57" s="108">
        <f t="shared" si="7"/>
        <v>0</v>
      </c>
      <c r="AF57" s="182"/>
      <c r="AG57" s="182"/>
      <c r="AH57" s="202"/>
      <c r="AI57" s="203"/>
      <c r="AJ57" s="108">
        <f t="shared" si="10"/>
        <v>0</v>
      </c>
      <c r="AK57" s="163"/>
      <c r="AL57" s="258">
        <f t="shared" si="8"/>
        <v>0</v>
      </c>
      <c r="AM57" s="221">
        <v>25</v>
      </c>
      <c r="AN57" s="36"/>
      <c r="AR57" s="92"/>
      <c r="AS57" s="2"/>
      <c r="AT57" s="2"/>
      <c r="AU57" s="2"/>
      <c r="AV57" s="2"/>
      <c r="AY57" s="2"/>
      <c r="AZ57" s="2"/>
      <c r="BA57" s="2"/>
      <c r="BB57" s="2"/>
    </row>
    <row r="58" spans="1:54" ht="18.75" x14ac:dyDescent="0.3">
      <c r="A58" s="280"/>
      <c r="B58" s="135"/>
      <c r="C58" s="135"/>
      <c r="D58" s="135"/>
      <c r="E58" s="135"/>
      <c r="F58" s="135"/>
      <c r="G58" s="135"/>
      <c r="H58" s="135"/>
      <c r="I58" s="135"/>
      <c r="J58" s="135"/>
      <c r="K58" s="135"/>
      <c r="L58" s="135"/>
      <c r="M58" s="135"/>
      <c r="N58" s="135"/>
      <c r="O58" s="135"/>
      <c r="P58" s="135"/>
      <c r="Q58" s="124"/>
      <c r="R58" s="135"/>
      <c r="S58" s="124"/>
      <c r="T58" s="124"/>
      <c r="U58" s="124"/>
      <c r="V58" s="124"/>
      <c r="W58" s="135"/>
      <c r="X58" s="182">
        <v>26</v>
      </c>
      <c r="Y58" s="200"/>
      <c r="Z58" s="201"/>
      <c r="AA58" s="182"/>
      <c r="AB58" s="182"/>
      <c r="AC58" s="277"/>
      <c r="AD58" s="108"/>
      <c r="AE58" s="108">
        <f t="shared" si="7"/>
        <v>0</v>
      </c>
      <c r="AF58" s="182"/>
      <c r="AG58" s="182"/>
      <c r="AH58" s="202"/>
      <c r="AI58" s="203"/>
      <c r="AJ58" s="108">
        <f t="shared" si="10"/>
        <v>0</v>
      </c>
      <c r="AK58" s="163"/>
      <c r="AL58" s="258">
        <f t="shared" si="8"/>
        <v>0</v>
      </c>
      <c r="AM58" s="221">
        <v>26</v>
      </c>
      <c r="AN58" s="16"/>
      <c r="AR58" s="2"/>
      <c r="AS58" s="2"/>
      <c r="AT58" s="2"/>
      <c r="AU58" s="2"/>
      <c r="AV58" s="2"/>
      <c r="AY58" s="2"/>
      <c r="AZ58" s="2"/>
      <c r="BA58" s="2"/>
      <c r="BB58" s="2"/>
    </row>
    <row r="59" spans="1:54" ht="18.75" x14ac:dyDescent="0.3">
      <c r="A59" s="280"/>
      <c r="B59" s="135"/>
      <c r="C59" s="135"/>
      <c r="D59" s="135"/>
      <c r="E59" s="135"/>
      <c r="F59" s="135"/>
      <c r="G59" s="135"/>
      <c r="H59" s="135"/>
      <c r="I59" s="135"/>
      <c r="J59" s="135"/>
      <c r="K59" s="135"/>
      <c r="L59" s="135"/>
      <c r="M59" s="135"/>
      <c r="N59" s="135"/>
      <c r="O59" s="135"/>
      <c r="P59" s="135"/>
      <c r="Q59" s="124"/>
      <c r="R59" s="135"/>
      <c r="S59" s="124"/>
      <c r="T59" s="124"/>
      <c r="U59" s="124"/>
      <c r="V59" s="124"/>
      <c r="W59" s="135"/>
      <c r="X59" s="182">
        <v>27</v>
      </c>
      <c r="Y59" s="200"/>
      <c r="Z59" s="201"/>
      <c r="AA59" s="182"/>
      <c r="AB59" s="182"/>
      <c r="AC59" s="277"/>
      <c r="AD59" s="108"/>
      <c r="AE59" s="108">
        <f t="shared" si="7"/>
        <v>0</v>
      </c>
      <c r="AF59" s="182"/>
      <c r="AG59" s="182"/>
      <c r="AH59" s="202"/>
      <c r="AI59" s="203"/>
      <c r="AJ59" s="108">
        <f t="shared" si="10"/>
        <v>0</v>
      </c>
      <c r="AK59" s="163"/>
      <c r="AL59" s="258">
        <f t="shared" si="8"/>
        <v>0</v>
      </c>
      <c r="AM59" s="221">
        <v>27</v>
      </c>
      <c r="AN59" s="16"/>
      <c r="AR59" s="2"/>
      <c r="AS59" s="2"/>
      <c r="AT59" s="2"/>
      <c r="AU59" s="2"/>
      <c r="AV59" s="12"/>
      <c r="AY59" s="2"/>
      <c r="AZ59" s="2"/>
      <c r="BA59" s="2"/>
      <c r="BB59" s="2"/>
    </row>
    <row r="60" spans="1:54" ht="18.75" x14ac:dyDescent="0.3">
      <c r="A60" s="280"/>
      <c r="B60" s="135"/>
      <c r="C60" s="135"/>
      <c r="D60" s="135"/>
      <c r="E60" s="135"/>
      <c r="F60" s="135"/>
      <c r="G60" s="135"/>
      <c r="H60" s="135"/>
      <c r="I60" s="135"/>
      <c r="J60" s="135"/>
      <c r="K60" s="135"/>
      <c r="L60" s="135"/>
      <c r="M60" s="135"/>
      <c r="N60" s="135"/>
      <c r="O60" s="135"/>
      <c r="P60" s="135"/>
      <c r="Q60" s="124"/>
      <c r="R60" s="135"/>
      <c r="S60" s="124"/>
      <c r="T60" s="124"/>
      <c r="U60" s="124"/>
      <c r="V60" s="124"/>
      <c r="W60" s="135"/>
      <c r="X60" s="182">
        <v>28</v>
      </c>
      <c r="Y60" s="200"/>
      <c r="Z60" s="201"/>
      <c r="AA60" s="182"/>
      <c r="AB60" s="227"/>
      <c r="AC60" s="277"/>
      <c r="AD60" s="108"/>
      <c r="AE60" s="108">
        <f t="shared" si="7"/>
        <v>0</v>
      </c>
      <c r="AF60" s="182"/>
      <c r="AG60" s="182"/>
      <c r="AH60" s="202"/>
      <c r="AI60" s="203"/>
      <c r="AJ60" s="108">
        <f t="shared" si="10"/>
        <v>0</v>
      </c>
      <c r="AK60" s="163"/>
      <c r="AL60" s="258">
        <f t="shared" si="8"/>
        <v>0</v>
      </c>
      <c r="AM60" s="221">
        <v>28</v>
      </c>
      <c r="AN60" s="16"/>
      <c r="AR60" s="12"/>
      <c r="AS60" s="2"/>
      <c r="AT60" s="2"/>
      <c r="AU60" s="2"/>
      <c r="AV60" s="12"/>
      <c r="AY60" s="2"/>
      <c r="AZ60" s="2"/>
      <c r="BA60" s="2"/>
      <c r="BB60" s="2"/>
    </row>
    <row r="61" spans="1:54" ht="18.75" x14ac:dyDescent="0.3">
      <c r="A61" s="280"/>
      <c r="B61" s="135"/>
      <c r="C61" s="135"/>
      <c r="D61" s="135"/>
      <c r="E61" s="135"/>
      <c r="F61" s="135"/>
      <c r="G61" s="135"/>
      <c r="H61" s="135"/>
      <c r="I61" s="135"/>
      <c r="J61" s="135"/>
      <c r="K61" s="135"/>
      <c r="L61" s="135"/>
      <c r="M61" s="135"/>
      <c r="N61" s="135"/>
      <c r="O61" s="135"/>
      <c r="P61" s="135"/>
      <c r="Q61" s="124"/>
      <c r="R61" s="135"/>
      <c r="S61" s="124"/>
      <c r="T61" s="124"/>
      <c r="U61" s="124"/>
      <c r="V61" s="124"/>
      <c r="W61" s="135"/>
      <c r="X61" s="182">
        <v>29</v>
      </c>
      <c r="Y61" s="223"/>
      <c r="Z61" s="224"/>
      <c r="AA61" s="208"/>
      <c r="AB61" s="208"/>
      <c r="AC61" s="277"/>
      <c r="AD61" s="210"/>
      <c r="AE61" s="108">
        <f t="shared" si="7"/>
        <v>0</v>
      </c>
      <c r="AF61" s="182"/>
      <c r="AG61" s="182"/>
      <c r="AH61" s="282"/>
      <c r="AI61" s="203"/>
      <c r="AJ61" s="108">
        <f t="shared" si="10"/>
        <v>0</v>
      </c>
      <c r="AK61" s="306"/>
      <c r="AL61" s="258">
        <f t="shared" si="8"/>
        <v>0</v>
      </c>
      <c r="AM61" s="221">
        <v>29</v>
      </c>
      <c r="AN61" s="16"/>
      <c r="AR61" s="12"/>
      <c r="AS61" s="2"/>
      <c r="AT61" s="2"/>
      <c r="AU61" s="2"/>
      <c r="AV61" s="12"/>
    </row>
    <row r="62" spans="1:54" ht="18.75" x14ac:dyDescent="0.3">
      <c r="A62" s="280"/>
      <c r="B62" s="135"/>
      <c r="C62" s="135"/>
      <c r="D62" s="135"/>
      <c r="E62" s="135"/>
      <c r="F62" s="135"/>
      <c r="G62" s="135"/>
      <c r="H62" s="135"/>
      <c r="I62" s="135"/>
      <c r="J62" s="135"/>
      <c r="K62" s="135"/>
      <c r="L62" s="135"/>
      <c r="M62" s="135"/>
      <c r="N62" s="135"/>
      <c r="O62" s="135"/>
      <c r="P62" s="135"/>
      <c r="Q62" s="124"/>
      <c r="R62" s="135"/>
      <c r="S62" s="124"/>
      <c r="T62" s="124"/>
      <c r="U62" s="124"/>
      <c r="V62" s="124"/>
      <c r="W62" s="135"/>
      <c r="X62" s="182">
        <v>30</v>
      </c>
      <c r="Y62" s="223"/>
      <c r="Z62" s="224"/>
      <c r="AA62" s="208"/>
      <c r="AB62" s="208"/>
      <c r="AC62" s="277"/>
      <c r="AD62" s="108"/>
      <c r="AE62" s="108">
        <f t="shared" si="7"/>
        <v>0</v>
      </c>
      <c r="AF62" s="182"/>
      <c r="AG62" s="283"/>
      <c r="AH62" s="284"/>
      <c r="AI62" s="285"/>
      <c r="AJ62" s="286">
        <f t="shared" si="10"/>
        <v>0</v>
      </c>
      <c r="AK62" s="301"/>
      <c r="AL62" s="307">
        <f t="shared" si="8"/>
        <v>0</v>
      </c>
      <c r="AM62" s="221">
        <v>30</v>
      </c>
      <c r="AN62" s="16"/>
      <c r="AR62" s="2"/>
      <c r="AS62" s="2"/>
      <c r="AT62" s="2"/>
      <c r="AU62" s="2"/>
      <c r="AV62" s="12"/>
    </row>
    <row r="63" spans="1:54" ht="18.75" x14ac:dyDescent="0.3">
      <c r="A63" s="280"/>
      <c r="B63" s="135"/>
      <c r="C63" s="135"/>
      <c r="D63" s="135"/>
      <c r="E63" s="135"/>
      <c r="F63" s="135"/>
      <c r="G63" s="135"/>
      <c r="H63" s="135"/>
      <c r="I63" s="135"/>
      <c r="J63" s="135"/>
      <c r="K63" s="135"/>
      <c r="L63" s="135"/>
      <c r="M63" s="135"/>
      <c r="N63" s="135"/>
      <c r="O63" s="135"/>
      <c r="P63" s="135"/>
      <c r="Q63" s="124"/>
      <c r="R63" s="135"/>
      <c r="S63" s="124"/>
      <c r="T63" s="124"/>
      <c r="U63" s="124"/>
      <c r="V63" s="124"/>
      <c r="W63" s="135"/>
      <c r="X63" s="24"/>
      <c r="Y63" s="160"/>
      <c r="Z63" s="161"/>
      <c r="AA63" s="24"/>
      <c r="AB63" s="24"/>
      <c r="AC63" s="277">
        <f>SUM(AC33:AC62)</f>
        <v>0</v>
      </c>
      <c r="AD63" s="287"/>
      <c r="AE63" s="163"/>
      <c r="AF63" s="24"/>
      <c r="AG63" s="288"/>
      <c r="AH63" s="289" t="s">
        <v>75</v>
      </c>
      <c r="AI63" s="290"/>
      <c r="AJ63" s="291">
        <f>SUM(AJ3:AJ62)</f>
        <v>0</v>
      </c>
      <c r="AK63" s="163"/>
      <c r="AL63" s="258">
        <f t="shared" si="8"/>
        <v>0</v>
      </c>
      <c r="AM63" s="38"/>
      <c r="AN63" s="16"/>
      <c r="AR63" s="2"/>
      <c r="AS63" s="2"/>
      <c r="AT63" s="2"/>
      <c r="AU63" s="2"/>
      <c r="AV63" s="12"/>
    </row>
    <row r="64" spans="1:54" ht="18.75" x14ac:dyDescent="0.3">
      <c r="A64" s="280"/>
      <c r="B64" s="135"/>
      <c r="C64" s="135"/>
      <c r="D64" s="135"/>
      <c r="E64" s="135"/>
      <c r="F64" s="135"/>
      <c r="G64" s="135"/>
      <c r="H64" s="135"/>
      <c r="I64" s="135"/>
      <c r="J64" s="135"/>
      <c r="K64" s="135"/>
      <c r="L64" s="135"/>
      <c r="M64" s="135"/>
      <c r="N64" s="135"/>
      <c r="O64" s="135"/>
      <c r="P64" s="135"/>
      <c r="Q64" s="124"/>
      <c r="R64" s="135"/>
      <c r="S64" s="124"/>
      <c r="T64" s="124"/>
      <c r="U64" s="124"/>
      <c r="V64" s="124"/>
      <c r="W64" s="135"/>
      <c r="X64" s="24"/>
      <c r="Y64" s="292"/>
      <c r="Z64" s="293"/>
      <c r="AA64" s="32"/>
      <c r="AB64" s="294"/>
      <c r="AC64" s="295" t="s">
        <v>16</v>
      </c>
      <c r="AD64" s="296">
        <f>SUM(AD33:AD63)</f>
        <v>0</v>
      </c>
      <c r="AE64" s="163"/>
      <c r="AF64" s="24"/>
      <c r="AG64" s="24"/>
      <c r="AH64" s="297"/>
      <c r="AI64" s="165"/>
      <c r="AJ64" s="163"/>
      <c r="AK64" s="163"/>
      <c r="AL64" s="124"/>
      <c r="AM64" s="124"/>
      <c r="AN64" s="36"/>
      <c r="AR64" s="2"/>
      <c r="AS64" s="2"/>
      <c r="AT64" s="2"/>
      <c r="AU64" s="2"/>
      <c r="AV64" s="12"/>
    </row>
    <row r="65" spans="1:55" ht="18.75" x14ac:dyDescent="0.3">
      <c r="A65" s="280"/>
      <c r="B65" s="135"/>
      <c r="C65" s="135"/>
      <c r="D65" s="135"/>
      <c r="E65" s="135"/>
      <c r="F65" s="135"/>
      <c r="G65" s="135"/>
      <c r="H65" s="135"/>
      <c r="I65" s="135"/>
      <c r="J65" s="135"/>
      <c r="K65" s="135"/>
      <c r="L65" s="135"/>
      <c r="M65" s="135"/>
      <c r="N65" s="135"/>
      <c r="O65" s="135"/>
      <c r="P65" s="135"/>
      <c r="Q65" s="124"/>
      <c r="R65" s="135"/>
      <c r="S65" s="124"/>
      <c r="T65" s="124"/>
      <c r="U65" s="124"/>
      <c r="V65" s="124"/>
      <c r="W65" s="135"/>
      <c r="X65" s="24"/>
      <c r="Y65" s="160"/>
      <c r="Z65" s="161"/>
      <c r="AA65" s="24"/>
      <c r="AB65" s="24"/>
      <c r="AC65" s="163"/>
      <c r="AD65" s="163"/>
      <c r="AE65" s="163"/>
      <c r="AF65" s="24"/>
      <c r="AG65" s="24"/>
      <c r="AH65" s="297"/>
      <c r="AI65" s="165"/>
      <c r="AJ65" s="163"/>
      <c r="AK65" s="163"/>
      <c r="AL65" s="24"/>
      <c r="AM65" s="308"/>
      <c r="AN65" s="16"/>
      <c r="AR65" s="2"/>
      <c r="AS65" s="2"/>
      <c r="AT65" s="2"/>
      <c r="AU65" s="2"/>
      <c r="AV65" s="2"/>
    </row>
    <row r="66" spans="1:55" ht="18.75" x14ac:dyDescent="0.3">
      <c r="A66" s="280"/>
      <c r="B66" s="135"/>
      <c r="C66" s="135"/>
      <c r="D66" s="135"/>
      <c r="E66" s="135"/>
      <c r="F66" s="135"/>
      <c r="G66" s="135"/>
      <c r="H66" s="135"/>
      <c r="I66" s="135"/>
      <c r="J66" s="135"/>
      <c r="K66" s="135"/>
      <c r="L66" s="135"/>
      <c r="M66" s="135"/>
      <c r="N66" s="135"/>
      <c r="O66" s="135"/>
      <c r="P66" s="135"/>
      <c r="Q66" s="124"/>
      <c r="R66" s="135"/>
      <c r="S66" s="124"/>
      <c r="T66" s="124"/>
      <c r="U66" s="124"/>
      <c r="V66" s="124"/>
      <c r="W66" s="135"/>
      <c r="X66" s="24"/>
      <c r="Y66" s="160"/>
      <c r="Z66" s="161"/>
      <c r="AA66" s="24"/>
      <c r="AB66" s="24"/>
      <c r="AC66" s="163"/>
      <c r="AD66" s="163"/>
      <c r="AE66" s="163"/>
      <c r="AF66" s="24"/>
      <c r="AG66" s="24"/>
      <c r="AH66" s="297"/>
      <c r="AI66" s="202" t="s">
        <v>76</v>
      </c>
      <c r="AJ66" s="163"/>
      <c r="AK66" s="163"/>
      <c r="AL66" s="24"/>
      <c r="AM66" s="308"/>
      <c r="AN66" s="16"/>
      <c r="AR66" s="2"/>
      <c r="AS66" s="2"/>
      <c r="AT66" s="2"/>
      <c r="AU66" s="2"/>
      <c r="AV66" s="2"/>
    </row>
    <row r="67" spans="1:55" ht="18.75" x14ac:dyDescent="0.3">
      <c r="A67" s="280"/>
      <c r="B67" s="135"/>
      <c r="C67" s="135"/>
      <c r="D67" s="135"/>
      <c r="E67" s="135"/>
      <c r="F67" s="135"/>
      <c r="G67" s="135"/>
      <c r="H67" s="135"/>
      <c r="I67" s="135"/>
      <c r="J67" s="135"/>
      <c r="K67" s="135"/>
      <c r="L67" s="135"/>
      <c r="M67" s="135"/>
      <c r="N67" s="135"/>
      <c r="O67" s="135"/>
      <c r="P67" s="135"/>
      <c r="Q67" s="124"/>
      <c r="R67" s="135"/>
      <c r="S67" s="124"/>
      <c r="T67" s="124"/>
      <c r="U67" s="124"/>
      <c r="V67" s="124"/>
      <c r="W67" s="135"/>
      <c r="X67" s="24"/>
      <c r="Y67" s="160"/>
      <c r="Z67" s="161"/>
      <c r="AA67" s="24"/>
      <c r="AB67" s="24"/>
      <c r="AC67" s="231" t="s">
        <v>16</v>
      </c>
      <c r="AD67" s="231">
        <f>AD30</f>
        <v>0</v>
      </c>
      <c r="AE67" s="163"/>
      <c r="AF67" s="24"/>
      <c r="AG67" s="24"/>
      <c r="AH67" s="297"/>
      <c r="AI67" s="233"/>
      <c r="AJ67" s="291">
        <f>AJ63</f>
        <v>0</v>
      </c>
      <c r="AK67" s="163"/>
      <c r="AL67" s="24"/>
      <c r="AM67" s="308"/>
      <c r="AN67" s="16"/>
      <c r="AR67" s="2"/>
      <c r="AS67" s="2"/>
      <c r="AT67" s="2"/>
      <c r="AU67" s="2"/>
      <c r="AV67" s="2"/>
    </row>
    <row r="68" spans="1:55" ht="18.75" x14ac:dyDescent="0.3">
      <c r="A68" s="280"/>
      <c r="B68" s="135"/>
      <c r="C68" s="135"/>
      <c r="D68" s="135"/>
      <c r="E68" s="135"/>
      <c r="F68" s="135"/>
      <c r="G68" s="135"/>
      <c r="H68" s="135"/>
      <c r="I68" s="135"/>
      <c r="J68" s="135"/>
      <c r="K68" s="135"/>
      <c r="L68" s="135"/>
      <c r="M68" s="135"/>
      <c r="N68" s="135"/>
      <c r="O68" s="135"/>
      <c r="P68" s="135"/>
      <c r="Q68" s="124"/>
      <c r="R68" s="135"/>
      <c r="S68" s="124"/>
      <c r="T68" s="124"/>
      <c r="U68" s="124"/>
      <c r="V68" s="124"/>
      <c r="W68" s="135"/>
      <c r="X68" s="24"/>
      <c r="Y68" s="160"/>
      <c r="Z68" s="161"/>
      <c r="AA68" s="24"/>
      <c r="AB68" s="24"/>
      <c r="AC68" s="295" t="s">
        <v>16</v>
      </c>
      <c r="AD68" s="296">
        <f>AD64</f>
        <v>0</v>
      </c>
      <c r="AE68" s="163"/>
      <c r="AF68" s="24"/>
      <c r="AG68" s="24"/>
      <c r="AH68" s="297"/>
      <c r="AI68" s="298" t="s">
        <v>32</v>
      </c>
      <c r="AJ68" s="295">
        <f>'JANV 2026'!AJ69</f>
        <v>0</v>
      </c>
      <c r="AK68" s="163"/>
      <c r="AL68" s="24"/>
      <c r="AM68" s="308"/>
      <c r="AN68" s="16"/>
      <c r="AR68" s="2"/>
      <c r="AS68" s="2"/>
      <c r="AT68" s="2"/>
      <c r="AU68" s="2"/>
      <c r="AV68" s="2"/>
      <c r="BC68" s="20"/>
    </row>
    <row r="69" spans="1:55" ht="18.75" x14ac:dyDescent="0.3">
      <c r="A69" s="280"/>
      <c r="B69" s="135"/>
      <c r="C69" s="135"/>
      <c r="D69" s="135"/>
      <c r="E69" s="135"/>
      <c r="F69" s="135"/>
      <c r="G69" s="135"/>
      <c r="H69" s="135"/>
      <c r="I69" s="135"/>
      <c r="J69" s="135"/>
      <c r="K69" s="135"/>
      <c r="L69" s="135"/>
      <c r="M69" s="135"/>
      <c r="N69" s="135"/>
      <c r="O69" s="135"/>
      <c r="P69" s="135"/>
      <c r="Q69" s="124"/>
      <c r="R69" s="135"/>
      <c r="S69" s="124"/>
      <c r="T69" s="124"/>
      <c r="U69" s="124"/>
      <c r="V69" s="124"/>
      <c r="W69" s="135"/>
      <c r="X69" s="24"/>
      <c r="Y69" s="160"/>
      <c r="Z69" s="161"/>
      <c r="AA69" s="24"/>
      <c r="AB69" s="24"/>
      <c r="AC69" s="299" t="s">
        <v>74</v>
      </c>
      <c r="AD69" s="299">
        <f>SUM(AD67:AD68)</f>
        <v>0</v>
      </c>
      <c r="AE69" s="163"/>
      <c r="AF69" s="24"/>
      <c r="AG69" s="24"/>
      <c r="AH69" s="297"/>
      <c r="AI69" s="298" t="s">
        <v>33</v>
      </c>
      <c r="AJ69" s="300">
        <f>SUM(AJ67:AJ68)</f>
        <v>0</v>
      </c>
      <c r="AK69" s="163"/>
      <c r="AL69" s="24"/>
      <c r="AM69" s="308"/>
      <c r="AN69" s="16"/>
      <c r="AR69" s="2"/>
      <c r="AS69" s="2"/>
      <c r="AT69" s="2"/>
      <c r="AU69" s="2"/>
      <c r="AV69" s="2"/>
      <c r="BC69" s="20"/>
    </row>
    <row r="70" spans="1:55" ht="18.75" x14ac:dyDescent="0.3">
      <c r="A70" s="1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X70" s="16"/>
      <c r="Y70" s="41"/>
      <c r="Z70" s="42"/>
      <c r="AA70" s="20"/>
      <c r="AB70" s="44"/>
      <c r="AC70" s="19"/>
      <c r="AD70" s="19"/>
      <c r="AE70" s="19"/>
      <c r="AF70" s="20"/>
      <c r="AG70" s="20"/>
      <c r="AH70" s="43"/>
      <c r="AI70" s="21"/>
      <c r="AJ70" s="22"/>
      <c r="AK70" s="17"/>
      <c r="AL70" s="16"/>
      <c r="AM70" s="39"/>
      <c r="AN70" s="22"/>
      <c r="AR70" s="2"/>
      <c r="AS70" s="2"/>
      <c r="AT70" s="2"/>
      <c r="AU70" s="2"/>
      <c r="AV70" s="2"/>
    </row>
    <row r="71" spans="1:55" ht="18.75" x14ac:dyDescent="0.3">
      <c r="A71" s="1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X71" s="16"/>
      <c r="Y71" s="45"/>
      <c r="Z71" s="46"/>
      <c r="AA71" s="47"/>
      <c r="AB71" s="47"/>
      <c r="AC71" s="48"/>
      <c r="AD71" s="48"/>
      <c r="AE71" s="19"/>
      <c r="AF71" s="20"/>
      <c r="AG71" s="20"/>
      <c r="AH71" s="43"/>
      <c r="AK71" s="17"/>
      <c r="AL71" s="16"/>
      <c r="AM71" s="39"/>
      <c r="AN71" s="22"/>
      <c r="BA71" s="7"/>
    </row>
    <row r="72" spans="1:55" ht="18.75" x14ac:dyDescent="0.3">
      <c r="A72" s="1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X72" s="16"/>
      <c r="Y72" s="45"/>
      <c r="Z72" s="46"/>
      <c r="AA72" s="47"/>
      <c r="AB72" s="47"/>
      <c r="AC72" s="19"/>
      <c r="AD72" s="19"/>
      <c r="AE72" s="19"/>
      <c r="AF72" s="20"/>
      <c r="AG72" s="20"/>
      <c r="AH72" s="43"/>
      <c r="AK72" s="17"/>
      <c r="AL72" s="16"/>
      <c r="AM72" s="39"/>
      <c r="AN72" s="22"/>
      <c r="AY72" s="7"/>
      <c r="BA72" s="7"/>
    </row>
    <row r="73" spans="1:55" ht="18.75" x14ac:dyDescent="0.3">
      <c r="A73" s="1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X73" s="16"/>
      <c r="Y73" s="41"/>
      <c r="Z73" s="42"/>
      <c r="AA73" s="20"/>
      <c r="AB73" s="20"/>
      <c r="AC73" s="19"/>
      <c r="AD73" s="19"/>
      <c r="AE73" s="19"/>
      <c r="AF73" s="20"/>
      <c r="AG73" s="20"/>
      <c r="AH73" s="49"/>
      <c r="AK73" s="17"/>
      <c r="AL73" s="16"/>
      <c r="AM73" s="40" t="s">
        <v>34</v>
      </c>
      <c r="AN73" s="16"/>
      <c r="AY73" s="7"/>
      <c r="BA73" s="7"/>
    </row>
    <row r="74" spans="1:55" x14ac:dyDescent="0.2">
      <c r="A74" s="1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AY74" s="2"/>
    </row>
    <row r="75" spans="1:55" x14ac:dyDescent="0.2">
      <c r="A75" s="1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AR75" s="2"/>
      <c r="AS75" s="2"/>
      <c r="AT75" s="2"/>
      <c r="AU75" s="2"/>
      <c r="AV75" s="2"/>
      <c r="AY75" s="2"/>
      <c r="AZ75" s="2"/>
      <c r="BA75" s="2"/>
      <c r="BB75" s="2"/>
    </row>
    <row r="76" spans="1:55" x14ac:dyDescent="0.2">
      <c r="A76" s="1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AR76" s="92"/>
      <c r="AS76" s="11"/>
      <c r="AT76" s="11"/>
      <c r="AU76" s="11"/>
      <c r="AV76" s="2"/>
      <c r="AY76" s="2"/>
      <c r="AZ76" s="2"/>
      <c r="BA76" s="12"/>
      <c r="BB76" s="2"/>
    </row>
    <row r="77" spans="1:55" x14ac:dyDescent="0.2">
      <c r="A77" s="12"/>
      <c r="B77" s="2"/>
      <c r="L77" s="2"/>
      <c r="M77" s="2"/>
      <c r="N77" s="2"/>
      <c r="O77" s="2"/>
      <c r="AR77" s="92"/>
      <c r="AS77" s="11"/>
      <c r="AT77" s="11"/>
      <c r="AU77" s="11"/>
      <c r="AV77" s="2"/>
      <c r="AY77" s="12"/>
      <c r="AZ77" s="2"/>
      <c r="BA77" s="12"/>
      <c r="BB77" s="2"/>
    </row>
    <row r="78" spans="1:55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AR78" s="92"/>
      <c r="AS78" s="11"/>
      <c r="AT78" s="11"/>
      <c r="AU78" s="11"/>
      <c r="AV78" s="2"/>
      <c r="AY78" s="12"/>
      <c r="AZ78" s="2"/>
      <c r="BA78" s="12"/>
      <c r="BB78" s="2"/>
    </row>
    <row r="79" spans="1:55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AR79" s="92"/>
      <c r="AS79" s="2"/>
      <c r="AT79" s="2"/>
      <c r="AU79" s="2"/>
      <c r="AV79" s="2"/>
      <c r="AY79" s="2"/>
      <c r="AZ79" s="2"/>
      <c r="BA79" s="12"/>
      <c r="BB79" s="2"/>
    </row>
    <row r="80" spans="1:55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AR80" s="2"/>
      <c r="AS80" s="11"/>
      <c r="AT80" s="11"/>
      <c r="AU80" s="11"/>
      <c r="AV80" s="2"/>
      <c r="AY80" s="2"/>
      <c r="AZ80" s="2"/>
      <c r="BA80" s="2"/>
      <c r="BB80" s="2"/>
    </row>
    <row r="81" spans="1:54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AR81" s="92"/>
      <c r="AS81" s="2"/>
      <c r="AT81" s="2"/>
      <c r="AU81" s="2"/>
      <c r="AV81" s="2"/>
      <c r="AY81" s="2"/>
      <c r="AZ81" s="2"/>
      <c r="BA81" s="2"/>
      <c r="BB81" s="2"/>
    </row>
    <row r="82" spans="1:54" x14ac:dyDescent="0.2">
      <c r="A82" s="2"/>
      <c r="B82" s="2"/>
      <c r="C82" s="2"/>
      <c r="D82" s="2"/>
      <c r="E82" s="2"/>
      <c r="F82" s="2"/>
      <c r="G82" s="2"/>
      <c r="H82" s="2"/>
      <c r="I82" s="2"/>
      <c r="J82" s="13"/>
      <c r="K82" s="2"/>
      <c r="L82" s="2"/>
      <c r="M82" s="2"/>
      <c r="N82" s="2"/>
      <c r="O82" s="2"/>
      <c r="P82" s="2"/>
      <c r="AR82" s="2"/>
      <c r="AS82" s="2"/>
      <c r="AT82" s="2"/>
      <c r="AU82" s="2"/>
      <c r="AV82" s="2"/>
      <c r="AY82" s="2"/>
      <c r="AZ82" s="2"/>
      <c r="BA82" s="2"/>
      <c r="BB82" s="2"/>
    </row>
    <row r="83" spans="1:54" x14ac:dyDescent="0.2">
      <c r="J83" s="13"/>
      <c r="K83" s="2"/>
      <c r="AR83" s="2"/>
      <c r="AS83" s="2"/>
      <c r="AT83" s="2"/>
      <c r="AU83" s="2"/>
      <c r="AV83" s="12"/>
      <c r="AY83" s="2"/>
      <c r="AZ83" s="2"/>
      <c r="BA83" s="2"/>
      <c r="BB83" s="2"/>
    </row>
    <row r="84" spans="1:54" x14ac:dyDescent="0.2">
      <c r="AR84" s="12"/>
      <c r="AS84" s="2"/>
      <c r="AT84" s="2"/>
      <c r="AU84" s="2"/>
      <c r="AV84" s="12"/>
      <c r="AY84" s="2"/>
      <c r="AZ84" s="2"/>
      <c r="BA84" s="2"/>
      <c r="BB84" s="2"/>
    </row>
    <row r="85" spans="1:54" x14ac:dyDescent="0.2">
      <c r="A85" s="2"/>
      <c r="B85" s="2"/>
      <c r="AR85" s="12"/>
      <c r="AS85" s="2"/>
      <c r="AT85" s="2"/>
      <c r="AU85" s="2"/>
      <c r="AV85" s="12"/>
    </row>
    <row r="86" spans="1:54" x14ac:dyDescent="0.2">
      <c r="A86" s="2"/>
      <c r="B86" s="2"/>
      <c r="C86" s="2"/>
      <c r="D86" s="2"/>
      <c r="E86" s="2"/>
      <c r="F86" s="6"/>
      <c r="I86" s="6"/>
      <c r="AR86" s="2"/>
      <c r="AS86" s="2"/>
      <c r="AT86" s="2"/>
      <c r="AU86" s="2"/>
      <c r="AV86" s="12"/>
    </row>
    <row r="87" spans="1:54" x14ac:dyDescent="0.2">
      <c r="C87" s="5"/>
      <c r="F87" s="6"/>
      <c r="AR87" s="2"/>
      <c r="AS87" s="2"/>
      <c r="AT87" s="2"/>
      <c r="AU87" s="2"/>
      <c r="AV87" s="12"/>
    </row>
    <row r="88" spans="1:54" x14ac:dyDescent="0.2">
      <c r="C88" s="5"/>
      <c r="AR88" s="2"/>
      <c r="AS88" s="2"/>
      <c r="AT88" s="2"/>
      <c r="AU88" s="2"/>
      <c r="AV88" s="12"/>
    </row>
    <row r="89" spans="1:54" x14ac:dyDescent="0.2">
      <c r="C89" s="5"/>
      <c r="AR89" s="2"/>
      <c r="AS89" s="2"/>
      <c r="AT89" s="2"/>
      <c r="AU89" s="2"/>
      <c r="AV89" s="2"/>
    </row>
    <row r="90" spans="1:54" x14ac:dyDescent="0.2">
      <c r="C90" s="5"/>
      <c r="AR90" s="2"/>
      <c r="AS90" s="2"/>
      <c r="AT90" s="2"/>
      <c r="AU90" s="2"/>
      <c r="AV90" s="2"/>
    </row>
    <row r="91" spans="1:54" x14ac:dyDescent="0.2">
      <c r="C91" s="5"/>
      <c r="AR91" s="2"/>
      <c r="AS91" s="2"/>
      <c r="AT91" s="2"/>
      <c r="AU91" s="2"/>
      <c r="AV91" s="2"/>
    </row>
    <row r="92" spans="1:54" x14ac:dyDescent="0.2">
      <c r="C92" s="5"/>
      <c r="AR92" s="2"/>
      <c r="AS92" s="2"/>
      <c r="AT92" s="2"/>
      <c r="AU92" s="2"/>
      <c r="AV92" s="2"/>
    </row>
    <row r="93" spans="1:54" x14ac:dyDescent="0.2">
      <c r="C93" s="5"/>
      <c r="AR93" s="2"/>
      <c r="AS93" s="2"/>
      <c r="AT93" s="2"/>
      <c r="AU93" s="2"/>
      <c r="AV93" s="2"/>
    </row>
    <row r="94" spans="1:54" x14ac:dyDescent="0.2">
      <c r="C94" s="5"/>
      <c r="AR94" s="2"/>
      <c r="AS94" s="11"/>
      <c r="AT94" s="11"/>
      <c r="AU94" s="11"/>
      <c r="AV94" s="2"/>
    </row>
    <row r="95" spans="1:54" x14ac:dyDescent="0.2">
      <c r="C95" s="5"/>
    </row>
    <row r="96" spans="1:54" x14ac:dyDescent="0.2">
      <c r="C96" s="5"/>
    </row>
    <row r="97" spans="3:3" x14ac:dyDescent="0.2">
      <c r="C97" s="5"/>
    </row>
    <row r="98" spans="3:3" x14ac:dyDescent="0.2">
      <c r="C98" s="5"/>
    </row>
    <row r="99" spans="3:3" x14ac:dyDescent="0.2">
      <c r="C99" s="5"/>
    </row>
    <row r="100" spans="3:3" x14ac:dyDescent="0.2">
      <c r="C100" s="5"/>
    </row>
    <row r="101" spans="3:3" x14ac:dyDescent="0.2">
      <c r="C101" s="5"/>
    </row>
    <row r="102" spans="3:3" x14ac:dyDescent="0.2">
      <c r="C102" s="5"/>
    </row>
    <row r="103" spans="3:3" x14ac:dyDescent="0.2">
      <c r="C103" s="5"/>
    </row>
    <row r="104" spans="3:3" x14ac:dyDescent="0.2">
      <c r="C104" s="5"/>
    </row>
    <row r="105" spans="3:3" x14ac:dyDescent="0.2">
      <c r="C105" s="5"/>
    </row>
    <row r="106" spans="3:3" x14ac:dyDescent="0.2">
      <c r="C106" s="5"/>
    </row>
    <row r="107" spans="3:3" x14ac:dyDescent="0.2">
      <c r="C107" s="5"/>
    </row>
    <row r="108" spans="3:3" x14ac:dyDescent="0.2">
      <c r="C108" s="5"/>
    </row>
    <row r="109" spans="3:3" x14ac:dyDescent="0.2">
      <c r="C109" s="5"/>
    </row>
    <row r="110" spans="3:3" x14ac:dyDescent="0.2">
      <c r="C110" s="5"/>
    </row>
    <row r="111" spans="3:3" x14ac:dyDescent="0.2">
      <c r="C111" s="5"/>
    </row>
    <row r="112" spans="3:3" x14ac:dyDescent="0.2">
      <c r="C112" s="5"/>
    </row>
    <row r="113" spans="3:3" x14ac:dyDescent="0.2">
      <c r="C113" s="5"/>
    </row>
    <row r="114" spans="3:3" x14ac:dyDescent="0.2">
      <c r="C114" s="5"/>
    </row>
    <row r="115" spans="3:3" x14ac:dyDescent="0.2">
      <c r="C115" s="5"/>
    </row>
    <row r="116" spans="3:3" x14ac:dyDescent="0.2">
      <c r="C116" s="5"/>
    </row>
    <row r="117" spans="3:3" x14ac:dyDescent="0.2">
      <c r="C117" s="5"/>
    </row>
  </sheetData>
  <pageMargins left="0.25" right="0.25" top="0.75" bottom="0.75" header="0.3" footer="0.3"/>
  <pageSetup paperSize="9" scale="83" fitToHeight="0" orientation="landscape" horizontalDpi="4294967292" verticalDpi="4294967292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9572F-71C1-4458-A01D-1D555CD1E782}">
  <sheetPr published="0">
    <pageSetUpPr fitToPage="1"/>
  </sheetPr>
  <dimension ref="A1:BE117"/>
  <sheetViews>
    <sheetView topLeftCell="H10" zoomScale="70" zoomScaleNormal="70" zoomScalePageLayoutView="85" workbookViewId="0">
      <selection activeCell="AF33" sqref="AF33:AF36"/>
    </sheetView>
  </sheetViews>
  <sheetFormatPr baseColWidth="10" defaultColWidth="11" defaultRowHeight="12.75" x14ac:dyDescent="0.2"/>
  <cols>
    <col min="1" max="1" width="11.25" bestFit="1" customWidth="1"/>
    <col min="2" max="2" width="9.75" customWidth="1"/>
    <col min="3" max="3" width="11.375" customWidth="1"/>
    <col min="4" max="4" width="8.25" customWidth="1"/>
    <col min="5" max="5" width="9.375" customWidth="1"/>
    <col min="6" max="6" width="11.25" customWidth="1"/>
    <col min="7" max="7" width="10.375" customWidth="1"/>
    <col min="8" max="8" width="9.375" customWidth="1"/>
    <col min="9" max="9" width="6.375" customWidth="1"/>
    <col min="10" max="10" width="8.375" customWidth="1"/>
    <col min="11" max="11" width="8.625" customWidth="1"/>
    <col min="12" max="12" width="7" customWidth="1"/>
    <col min="13" max="13" width="8.875" customWidth="1"/>
    <col min="14" max="14" width="8.25" customWidth="1"/>
    <col min="15" max="15" width="10.25" bestFit="1" customWidth="1"/>
    <col min="16" max="16" width="17.25" bestFit="1" customWidth="1"/>
    <col min="17" max="17" width="39.125" customWidth="1"/>
    <col min="18" max="18" width="11" style="2"/>
    <col min="19" max="19" width="8" customWidth="1"/>
    <col min="20" max="20" width="12.375" customWidth="1"/>
    <col min="21" max="21" width="2.625" customWidth="1"/>
    <col min="22" max="22" width="33.75" customWidth="1"/>
    <col min="23" max="23" width="9.375" style="2" customWidth="1"/>
    <col min="24" max="24" width="9.25" customWidth="1"/>
    <col min="25" max="25" width="15" bestFit="1" customWidth="1"/>
    <col min="26" max="26" width="10.375" customWidth="1"/>
    <col min="27" max="27" width="14.5" bestFit="1" customWidth="1"/>
    <col min="28" max="28" width="11.375" customWidth="1"/>
    <col min="29" max="29" width="11.25" bestFit="1" customWidth="1"/>
    <col min="30" max="30" width="8.75" customWidth="1"/>
    <col min="31" max="31" width="12.875" customWidth="1"/>
    <col min="32" max="32" width="13.875" bestFit="1" customWidth="1"/>
    <col min="33" max="33" width="12.375" customWidth="1"/>
    <col min="34" max="34" width="9.25" customWidth="1"/>
    <col min="35" max="35" width="16.75" bestFit="1" customWidth="1"/>
    <col min="36" max="36" width="9.5" bestFit="1" customWidth="1"/>
    <col min="37" max="37" width="9.875" customWidth="1"/>
    <col min="38" max="38" width="10.75" customWidth="1"/>
  </cols>
  <sheetData>
    <row r="1" spans="1:57" ht="19.5" thickBot="1" x14ac:dyDescent="0.35">
      <c r="A1" s="123">
        <v>44773</v>
      </c>
      <c r="B1" s="124"/>
      <c r="C1" s="125" t="s">
        <v>22</v>
      </c>
      <c r="D1" s="125"/>
      <c r="E1" s="125"/>
      <c r="F1" s="126"/>
      <c r="G1" s="127" t="s">
        <v>23</v>
      </c>
      <c r="H1" s="127"/>
      <c r="I1" s="127"/>
      <c r="J1" s="127"/>
      <c r="K1" s="127"/>
      <c r="L1" s="128"/>
      <c r="M1" s="129" t="s">
        <v>6</v>
      </c>
      <c r="N1" s="129"/>
      <c r="O1" s="129"/>
      <c r="P1" s="130" t="s">
        <v>19</v>
      </c>
      <c r="Q1" s="131" t="s">
        <v>11</v>
      </c>
      <c r="R1" s="132" t="s">
        <v>12</v>
      </c>
      <c r="S1" s="133" t="s">
        <v>0</v>
      </c>
      <c r="T1" s="134" t="s">
        <v>13</v>
      </c>
      <c r="U1" s="124"/>
      <c r="V1" s="124"/>
      <c r="W1" s="135"/>
      <c r="X1" s="24"/>
      <c r="Y1" s="136" t="s">
        <v>25</v>
      </c>
      <c r="Z1" s="137" t="s">
        <v>5</v>
      </c>
      <c r="AA1" s="138" t="s">
        <v>26</v>
      </c>
      <c r="AB1" s="138" t="s">
        <v>27</v>
      </c>
      <c r="AC1" s="139" t="s">
        <v>15</v>
      </c>
      <c r="AD1" s="139" t="s">
        <v>16</v>
      </c>
      <c r="AE1" s="139" t="s">
        <v>12</v>
      </c>
      <c r="AF1" s="138" t="s">
        <v>28</v>
      </c>
      <c r="AG1" s="138" t="s">
        <v>29</v>
      </c>
      <c r="AH1" s="140" t="s">
        <v>5</v>
      </c>
      <c r="AI1" s="141" t="s">
        <v>30</v>
      </c>
      <c r="AJ1" s="24"/>
      <c r="AK1" s="301"/>
      <c r="AL1" s="24"/>
      <c r="AM1" s="302"/>
      <c r="AN1" s="16"/>
    </row>
    <row r="2" spans="1:57" s="2" customFormat="1" ht="19.5" thickBot="1" x14ac:dyDescent="0.35">
      <c r="A2" s="142" t="s">
        <v>5</v>
      </c>
      <c r="B2" s="143" t="s">
        <v>20</v>
      </c>
      <c r="C2" s="144">
        <v>6</v>
      </c>
      <c r="D2" s="145">
        <v>12</v>
      </c>
      <c r="E2" s="144">
        <v>21</v>
      </c>
      <c r="F2" s="146" t="s">
        <v>0</v>
      </c>
      <c r="G2" s="147" t="s">
        <v>24</v>
      </c>
      <c r="H2" s="148" t="s">
        <v>1</v>
      </c>
      <c r="I2" s="147" t="s">
        <v>21</v>
      </c>
      <c r="J2" s="147" t="s">
        <v>81</v>
      </c>
      <c r="K2" s="149" t="s">
        <v>2</v>
      </c>
      <c r="L2" s="150" t="s">
        <v>8</v>
      </c>
      <c r="M2" s="151" t="s">
        <v>7</v>
      </c>
      <c r="N2" s="152" t="s">
        <v>4</v>
      </c>
      <c r="O2" s="153" t="s">
        <v>3</v>
      </c>
      <c r="P2" s="154">
        <f>'JUILLET 2026'!P33</f>
        <v>268.89999999999998</v>
      </c>
      <c r="Q2" s="155"/>
      <c r="R2" s="156"/>
      <c r="S2" s="157"/>
      <c r="T2" s="158"/>
      <c r="U2" s="135"/>
      <c r="V2" s="159"/>
      <c r="W2" s="135"/>
      <c r="X2" s="24"/>
      <c r="Y2" s="160"/>
      <c r="Z2" s="161"/>
      <c r="AA2" s="24"/>
      <c r="AB2" s="162">
        <v>44773</v>
      </c>
      <c r="AC2" s="163"/>
      <c r="AD2" s="163"/>
      <c r="AE2" s="163"/>
      <c r="AF2" s="24"/>
      <c r="AG2" s="24"/>
      <c r="AH2" s="164"/>
      <c r="AI2" s="165"/>
      <c r="AJ2" s="24"/>
      <c r="AK2" s="163"/>
      <c r="AL2" s="24"/>
      <c r="AM2" s="302"/>
      <c r="AN2" s="16"/>
      <c r="AO2"/>
      <c r="AP2"/>
      <c r="AQ2" s="100"/>
      <c r="AR2" s="100"/>
      <c r="AS2" s="100"/>
      <c r="AT2" s="100"/>
      <c r="AU2" s="100"/>
      <c r="AV2" s="100"/>
      <c r="AW2" s="100"/>
      <c r="AX2"/>
      <c r="AZ2"/>
      <c r="BA2"/>
      <c r="BB2"/>
      <c r="BC2" s="20"/>
      <c r="BE2"/>
    </row>
    <row r="3" spans="1:57" ht="16.5" thickBot="1" x14ac:dyDescent="0.3">
      <c r="A3" s="166">
        <v>44773</v>
      </c>
      <c r="B3" s="167"/>
      <c r="C3" s="168"/>
      <c r="D3" s="168"/>
      <c r="E3" s="169"/>
      <c r="F3" s="170">
        <f>SUM(B3:E3)</f>
        <v>0</v>
      </c>
      <c r="G3" s="171">
        <f>F3</f>
        <v>0</v>
      </c>
      <c r="H3" s="168"/>
      <c r="I3" s="168"/>
      <c r="J3" s="169"/>
      <c r="K3" s="172">
        <f t="shared" ref="K3:K33" si="0">SUM(F3-H3-J3-I3)</f>
        <v>0</v>
      </c>
      <c r="L3" s="173">
        <f t="shared" ref="L3:L33" si="1">SUM(F3-H3-J3-I3)</f>
        <v>0</v>
      </c>
      <c r="M3" s="174"/>
      <c r="N3" s="175"/>
      <c r="O3" s="176">
        <f>SUM(L3-M3-N3+P2)</f>
        <v>268.89999999999998</v>
      </c>
      <c r="P3" s="177"/>
      <c r="Q3" s="178"/>
      <c r="R3" s="179"/>
      <c r="S3" s="180"/>
      <c r="T3" s="181"/>
      <c r="U3" s="124"/>
      <c r="V3" s="124"/>
      <c r="W3" s="135"/>
      <c r="X3" s="182">
        <v>1</v>
      </c>
      <c r="Y3" s="310"/>
      <c r="Z3" s="311"/>
      <c r="AA3" s="312"/>
      <c r="AB3" s="312"/>
      <c r="AC3" s="313"/>
      <c r="AD3" s="313"/>
      <c r="AE3" s="314">
        <f t="shared" ref="AE3:AE29" si="2">SUM(AC3:AD3)</f>
        <v>0</v>
      </c>
      <c r="AF3" s="312"/>
      <c r="AG3" s="312"/>
      <c r="AH3" s="315"/>
      <c r="AI3" s="316"/>
      <c r="AJ3" s="314">
        <v>0</v>
      </c>
      <c r="AK3" s="23"/>
      <c r="AL3" s="24"/>
      <c r="AM3" s="302"/>
      <c r="AN3" s="24"/>
      <c r="AQ3" s="100"/>
      <c r="AR3" s="59"/>
      <c r="AS3" s="59"/>
      <c r="AT3" s="59"/>
      <c r="AU3" s="59"/>
      <c r="AV3" s="59"/>
      <c r="AW3" s="100"/>
      <c r="AY3" s="2"/>
      <c r="AZ3" s="2"/>
      <c r="BA3" s="2"/>
      <c r="BB3" s="2"/>
      <c r="BC3" s="20"/>
      <c r="BD3" s="2"/>
    </row>
    <row r="4" spans="1:57" ht="16.5" thickBot="1" x14ac:dyDescent="0.3">
      <c r="A4" s="166">
        <v>44774</v>
      </c>
      <c r="B4" s="190"/>
      <c r="C4" s="179"/>
      <c r="D4" s="179"/>
      <c r="E4" s="175"/>
      <c r="F4" s="170">
        <f t="shared" ref="F4:F33" si="3">SUM(B4:E4)</f>
        <v>0</v>
      </c>
      <c r="G4" s="171">
        <f t="shared" ref="G4:G33" si="4">F4</f>
        <v>0</v>
      </c>
      <c r="H4" s="179"/>
      <c r="I4" s="191"/>
      <c r="J4" s="175"/>
      <c r="K4" s="192">
        <f t="shared" si="0"/>
        <v>0</v>
      </c>
      <c r="L4" s="193">
        <f t="shared" si="1"/>
        <v>0</v>
      </c>
      <c r="M4" s="174"/>
      <c r="N4" s="194"/>
      <c r="O4" s="195">
        <f>SUM(L4-M4-N4+O3+P4)</f>
        <v>268.89999999999998</v>
      </c>
      <c r="P4" s="196"/>
      <c r="Q4" s="197"/>
      <c r="R4" s="179"/>
      <c r="S4" s="198"/>
      <c r="T4" s="199"/>
      <c r="U4" s="124"/>
      <c r="V4" s="124"/>
      <c r="W4" s="135"/>
      <c r="X4" s="182">
        <v>2</v>
      </c>
      <c r="Y4" s="317"/>
      <c r="Z4" s="318"/>
      <c r="AA4" s="319"/>
      <c r="AB4" s="319"/>
      <c r="AC4" s="314"/>
      <c r="AD4" s="314"/>
      <c r="AE4" s="314">
        <f t="shared" si="2"/>
        <v>0</v>
      </c>
      <c r="AF4" s="319"/>
      <c r="AG4" s="319"/>
      <c r="AH4" s="315"/>
      <c r="AI4" s="316"/>
      <c r="AJ4" s="314">
        <f>AE4</f>
        <v>0</v>
      </c>
      <c r="AK4" s="25"/>
      <c r="AL4" s="124"/>
      <c r="AM4" s="124"/>
      <c r="AN4" s="28"/>
      <c r="AQ4" s="100"/>
      <c r="AR4" s="70"/>
      <c r="AS4" s="71"/>
      <c r="AT4" s="71"/>
      <c r="AU4" s="71"/>
      <c r="AV4" s="59"/>
      <c r="AW4" s="100"/>
      <c r="AY4" s="2"/>
      <c r="AZ4" s="2"/>
      <c r="BA4" s="12"/>
      <c r="BB4" s="2"/>
    </row>
    <row r="5" spans="1:57" ht="16.5" thickBot="1" x14ac:dyDescent="0.3">
      <c r="A5" s="166">
        <v>44775</v>
      </c>
      <c r="B5" s="190"/>
      <c r="C5" s="179"/>
      <c r="D5" s="179"/>
      <c r="E5" s="175"/>
      <c r="F5" s="170">
        <f t="shared" si="3"/>
        <v>0</v>
      </c>
      <c r="G5" s="171">
        <f t="shared" si="4"/>
        <v>0</v>
      </c>
      <c r="H5" s="179"/>
      <c r="I5" s="191"/>
      <c r="J5" s="175"/>
      <c r="K5" s="192">
        <f t="shared" si="0"/>
        <v>0</v>
      </c>
      <c r="L5" s="193">
        <f t="shared" si="1"/>
        <v>0</v>
      </c>
      <c r="M5" s="174"/>
      <c r="N5" s="194"/>
      <c r="O5" s="195">
        <f>SUM(L5-M5-N5+O4+P5)</f>
        <v>268.89999999999998</v>
      </c>
      <c r="P5" s="196"/>
      <c r="Q5" s="178"/>
      <c r="R5" s="179"/>
      <c r="S5" s="180"/>
      <c r="T5" s="181"/>
      <c r="U5" s="124"/>
      <c r="V5" s="124"/>
      <c r="W5" s="135"/>
      <c r="X5" s="182">
        <v>3</v>
      </c>
      <c r="Y5" s="317"/>
      <c r="Z5" s="318"/>
      <c r="AA5" s="319"/>
      <c r="AB5" s="319"/>
      <c r="AC5" s="313"/>
      <c r="AD5" s="313"/>
      <c r="AE5" s="314">
        <f t="shared" si="2"/>
        <v>0</v>
      </c>
      <c r="AF5" s="319"/>
      <c r="AG5" s="319"/>
      <c r="AH5" s="315"/>
      <c r="AI5" s="316"/>
      <c r="AJ5" s="314">
        <v>0</v>
      </c>
      <c r="AK5" s="25"/>
      <c r="AL5" s="124"/>
      <c r="AM5" s="124"/>
      <c r="AN5" s="32"/>
      <c r="AQ5" s="100"/>
      <c r="AR5" s="70"/>
      <c r="AS5" s="71"/>
      <c r="AT5" s="71"/>
      <c r="AU5" s="71"/>
      <c r="AV5" s="59"/>
      <c r="AW5" s="100"/>
      <c r="AY5" s="12"/>
      <c r="AZ5" s="2"/>
      <c r="BA5" s="12"/>
      <c r="BB5" s="2"/>
    </row>
    <row r="6" spans="1:57" ht="19.5" thickBot="1" x14ac:dyDescent="0.35">
      <c r="A6" s="166">
        <v>44776</v>
      </c>
      <c r="B6" s="190"/>
      <c r="C6" s="179"/>
      <c r="D6" s="179"/>
      <c r="E6" s="175"/>
      <c r="F6" s="170">
        <f t="shared" si="3"/>
        <v>0</v>
      </c>
      <c r="G6" s="171">
        <f t="shared" si="4"/>
        <v>0</v>
      </c>
      <c r="H6" s="179"/>
      <c r="I6" s="191"/>
      <c r="J6" s="175"/>
      <c r="K6" s="192">
        <f t="shared" si="0"/>
        <v>0</v>
      </c>
      <c r="L6" s="193">
        <f t="shared" si="1"/>
        <v>0</v>
      </c>
      <c r="M6" s="174"/>
      <c r="N6" s="194"/>
      <c r="O6" s="195">
        <f>SUM(L6-M6-N6+O5+P6)</f>
        <v>268.89999999999998</v>
      </c>
      <c r="P6" s="196"/>
      <c r="Q6" s="178"/>
      <c r="R6" s="179"/>
      <c r="S6" s="198"/>
      <c r="T6" s="199"/>
      <c r="U6" s="124"/>
      <c r="V6" s="124"/>
      <c r="W6" s="135"/>
      <c r="X6" s="182">
        <v>4</v>
      </c>
      <c r="Y6" s="310"/>
      <c r="Z6" s="311"/>
      <c r="AA6" s="312"/>
      <c r="AB6" s="320"/>
      <c r="AC6" s="313"/>
      <c r="AD6" s="313"/>
      <c r="AE6" s="314">
        <f t="shared" si="2"/>
        <v>0</v>
      </c>
      <c r="AF6" s="312"/>
      <c r="AG6" s="312"/>
      <c r="AH6" s="315"/>
      <c r="AI6" s="316"/>
      <c r="AJ6" s="314">
        <v>0</v>
      </c>
      <c r="AK6" s="301"/>
      <c r="AL6" s="124"/>
      <c r="AM6" s="124"/>
      <c r="AN6" s="34"/>
      <c r="AQ6" s="100"/>
      <c r="AR6" s="70"/>
      <c r="AS6" s="71"/>
      <c r="AT6" s="71"/>
      <c r="AU6" s="71"/>
      <c r="AV6" s="59"/>
      <c r="AW6" s="100"/>
      <c r="AY6" s="12"/>
      <c r="AZ6" s="2"/>
      <c r="BA6" s="12"/>
      <c r="BB6" s="2"/>
    </row>
    <row r="7" spans="1:57" ht="16.5" thickBot="1" x14ac:dyDescent="0.3">
      <c r="A7" s="166">
        <v>44777</v>
      </c>
      <c r="B7" s="190"/>
      <c r="C7" s="179"/>
      <c r="D7" s="179"/>
      <c r="E7" s="175"/>
      <c r="F7" s="170">
        <f t="shared" si="3"/>
        <v>0</v>
      </c>
      <c r="G7" s="171">
        <f t="shared" si="4"/>
        <v>0</v>
      </c>
      <c r="H7" s="179"/>
      <c r="I7" s="191"/>
      <c r="J7" s="175"/>
      <c r="K7" s="192">
        <f t="shared" si="0"/>
        <v>0</v>
      </c>
      <c r="L7" s="193">
        <f t="shared" si="1"/>
        <v>0</v>
      </c>
      <c r="M7" s="174"/>
      <c r="N7" s="194"/>
      <c r="O7" s="195">
        <f>SUM(L7-M7-N7+O6+P7)</f>
        <v>268.89999999999998</v>
      </c>
      <c r="P7" s="196"/>
      <c r="Q7" s="178"/>
      <c r="R7" s="179"/>
      <c r="S7" s="180"/>
      <c r="T7" s="199"/>
      <c r="U7" s="124"/>
      <c r="V7" s="124"/>
      <c r="W7" s="135"/>
      <c r="X7" s="182">
        <v>5</v>
      </c>
      <c r="Y7" s="317"/>
      <c r="Z7" s="318"/>
      <c r="AA7" s="319"/>
      <c r="AB7" s="319"/>
      <c r="AC7" s="314"/>
      <c r="AD7" s="314"/>
      <c r="AE7" s="314">
        <f t="shared" si="2"/>
        <v>0</v>
      </c>
      <c r="AF7" s="319"/>
      <c r="AG7" s="312"/>
      <c r="AH7" s="315"/>
      <c r="AI7" s="316"/>
      <c r="AJ7" s="314">
        <v>0</v>
      </c>
      <c r="AK7" s="23"/>
      <c r="AL7" s="124"/>
      <c r="AM7" s="124"/>
      <c r="AN7" s="24"/>
      <c r="AQ7" s="100"/>
      <c r="AR7" s="70"/>
      <c r="AS7" s="59"/>
      <c r="AT7" s="59"/>
      <c r="AU7" s="71"/>
      <c r="AV7" s="59"/>
      <c r="AW7" s="100"/>
      <c r="AY7" s="2"/>
      <c r="AZ7" s="2"/>
      <c r="BA7" s="12"/>
      <c r="BB7" s="2"/>
    </row>
    <row r="8" spans="1:57" ht="19.5" thickBot="1" x14ac:dyDescent="0.35">
      <c r="A8" s="166">
        <v>44778</v>
      </c>
      <c r="B8" s="190"/>
      <c r="C8" s="179"/>
      <c r="D8" s="179"/>
      <c r="E8" s="175"/>
      <c r="F8" s="170">
        <f t="shared" si="3"/>
        <v>0</v>
      </c>
      <c r="G8" s="171">
        <f t="shared" si="4"/>
        <v>0</v>
      </c>
      <c r="H8" s="179"/>
      <c r="I8" s="191"/>
      <c r="J8" s="175"/>
      <c r="K8" s="192">
        <f t="shared" si="0"/>
        <v>0</v>
      </c>
      <c r="L8" s="193">
        <f t="shared" si="1"/>
        <v>0</v>
      </c>
      <c r="M8" s="209"/>
      <c r="N8" s="194"/>
      <c r="O8" s="195">
        <f>SUM(L8-M8-N8+O7+P8)</f>
        <v>268.89999999999998</v>
      </c>
      <c r="P8" s="196"/>
      <c r="Q8" s="178"/>
      <c r="R8" s="179"/>
      <c r="S8" s="180"/>
      <c r="T8" s="199"/>
      <c r="U8" s="124"/>
      <c r="V8" s="124"/>
      <c r="W8" s="135"/>
      <c r="X8" s="182">
        <v>6</v>
      </c>
      <c r="Y8" s="310"/>
      <c r="Z8" s="311"/>
      <c r="AA8" s="312"/>
      <c r="AB8" s="312"/>
      <c r="AC8" s="313"/>
      <c r="AD8" s="313"/>
      <c r="AE8" s="314">
        <f t="shared" si="2"/>
        <v>0</v>
      </c>
      <c r="AF8" s="319"/>
      <c r="AG8" s="312"/>
      <c r="AH8" s="315"/>
      <c r="AI8" s="316"/>
      <c r="AJ8" s="314">
        <v>0</v>
      </c>
      <c r="AK8" s="163"/>
      <c r="AL8" s="124"/>
      <c r="AM8" s="124"/>
      <c r="AN8" s="34"/>
      <c r="AQ8" s="100"/>
      <c r="AR8" s="59"/>
      <c r="AS8" s="71"/>
      <c r="AT8" s="71"/>
      <c r="AU8" s="71"/>
      <c r="AV8" s="59"/>
      <c r="AW8" s="100"/>
      <c r="AY8" s="2"/>
      <c r="AZ8" s="2"/>
      <c r="BA8" s="2"/>
      <c r="BB8" s="2"/>
    </row>
    <row r="9" spans="1:57" ht="16.5" thickBot="1" x14ac:dyDescent="0.3">
      <c r="A9" s="166">
        <v>44779</v>
      </c>
      <c r="B9" s="190"/>
      <c r="C9" s="179"/>
      <c r="D9" s="179"/>
      <c r="E9" s="175"/>
      <c r="F9" s="170">
        <f t="shared" si="3"/>
        <v>0</v>
      </c>
      <c r="G9" s="171">
        <f t="shared" si="4"/>
        <v>0</v>
      </c>
      <c r="H9" s="179"/>
      <c r="I9" s="191"/>
      <c r="J9" s="175"/>
      <c r="K9" s="192">
        <f t="shared" si="0"/>
        <v>0</v>
      </c>
      <c r="L9" s="193">
        <f t="shared" si="1"/>
        <v>0</v>
      </c>
      <c r="M9" s="174"/>
      <c r="N9" s="194"/>
      <c r="O9" s="195">
        <f t="shared" ref="O9:O33" si="5">SUM(L9-M9-N9+O8)</f>
        <v>268.89999999999998</v>
      </c>
      <c r="P9" s="196"/>
      <c r="Q9" s="178"/>
      <c r="R9" s="179"/>
      <c r="S9" s="180"/>
      <c r="T9" s="199"/>
      <c r="U9" s="124"/>
      <c r="V9" s="124"/>
      <c r="W9" s="135"/>
      <c r="X9" s="182">
        <v>7</v>
      </c>
      <c r="Y9" s="200"/>
      <c r="Z9" s="201"/>
      <c r="AA9" s="182"/>
      <c r="AB9" s="182"/>
      <c r="AC9" s="210"/>
      <c r="AD9" s="210"/>
      <c r="AE9" s="108">
        <f t="shared" si="2"/>
        <v>0</v>
      </c>
      <c r="AF9" s="182"/>
      <c r="AG9" s="182"/>
      <c r="AH9" s="202"/>
      <c r="AI9" s="203"/>
      <c r="AJ9" s="108">
        <f>AE9</f>
        <v>0</v>
      </c>
      <c r="AK9" s="163"/>
      <c r="AL9" s="124"/>
      <c r="AM9" s="124"/>
      <c r="AN9" s="24"/>
      <c r="AQ9" s="100"/>
      <c r="AR9" s="70"/>
      <c r="AS9" s="59"/>
      <c r="AT9" s="59"/>
      <c r="AU9" s="59"/>
      <c r="AV9" s="59"/>
      <c r="AW9" s="100"/>
      <c r="AY9" s="2"/>
      <c r="AZ9" s="2"/>
      <c r="BA9" s="2"/>
      <c r="BB9" s="2"/>
    </row>
    <row r="10" spans="1:57" ht="19.5" thickBot="1" x14ac:dyDescent="0.35">
      <c r="A10" s="166">
        <v>44780</v>
      </c>
      <c r="B10" s="190"/>
      <c r="C10" s="179"/>
      <c r="D10" s="179"/>
      <c r="E10" s="175"/>
      <c r="F10" s="170">
        <f t="shared" si="3"/>
        <v>0</v>
      </c>
      <c r="G10" s="171">
        <f t="shared" si="4"/>
        <v>0</v>
      </c>
      <c r="H10" s="179"/>
      <c r="I10" s="191"/>
      <c r="J10" s="175"/>
      <c r="K10" s="192">
        <f t="shared" si="0"/>
        <v>0</v>
      </c>
      <c r="L10" s="193">
        <f t="shared" si="1"/>
        <v>0</v>
      </c>
      <c r="M10" s="174"/>
      <c r="N10" s="194"/>
      <c r="O10" s="195">
        <f t="shared" si="5"/>
        <v>268.89999999999998</v>
      </c>
      <c r="P10" s="196"/>
      <c r="Q10" s="178"/>
      <c r="R10" s="179"/>
      <c r="S10" s="180"/>
      <c r="T10" s="199"/>
      <c r="U10" s="124"/>
      <c r="V10" s="124"/>
      <c r="W10" s="135"/>
      <c r="X10" s="182">
        <v>8</v>
      </c>
      <c r="Y10" s="200"/>
      <c r="Z10" s="201"/>
      <c r="AA10" s="182"/>
      <c r="AB10" s="182"/>
      <c r="AC10" s="210"/>
      <c r="AD10" s="210"/>
      <c r="AE10" s="108">
        <f t="shared" si="2"/>
        <v>0</v>
      </c>
      <c r="AF10" s="182"/>
      <c r="AG10" s="182"/>
      <c r="AH10" s="202"/>
      <c r="AI10" s="203"/>
      <c r="AJ10" s="108">
        <f t="shared" ref="AJ10:AJ29" si="6">AE10</f>
        <v>0</v>
      </c>
      <c r="AK10" s="163"/>
      <c r="AL10" s="124"/>
      <c r="AM10" s="124"/>
      <c r="AN10" s="22"/>
      <c r="AQ10" s="100"/>
      <c r="AR10" s="59"/>
      <c r="AS10" s="59"/>
      <c r="AT10" s="59"/>
      <c r="AU10" s="59"/>
      <c r="AV10" s="59"/>
      <c r="AW10" s="100"/>
      <c r="AY10" s="2"/>
      <c r="AZ10" s="2"/>
      <c r="BA10" s="2"/>
      <c r="BB10" s="2"/>
    </row>
    <row r="11" spans="1:57" ht="19.5" thickBot="1" x14ac:dyDescent="0.35">
      <c r="A11" s="166">
        <v>44781</v>
      </c>
      <c r="B11" s="190"/>
      <c r="C11" s="179"/>
      <c r="D11" s="179"/>
      <c r="E11" s="175"/>
      <c r="F11" s="170">
        <f t="shared" si="3"/>
        <v>0</v>
      </c>
      <c r="G11" s="171">
        <f t="shared" si="4"/>
        <v>0</v>
      </c>
      <c r="H11" s="179"/>
      <c r="I11" s="191"/>
      <c r="J11" s="175"/>
      <c r="K11" s="192">
        <f t="shared" si="0"/>
        <v>0</v>
      </c>
      <c r="L11" s="193">
        <f t="shared" si="1"/>
        <v>0</v>
      </c>
      <c r="M11" s="174"/>
      <c r="N11" s="194"/>
      <c r="O11" s="195">
        <f t="shared" si="5"/>
        <v>268.89999999999998</v>
      </c>
      <c r="P11" s="196"/>
      <c r="Q11" s="211"/>
      <c r="R11" s="212"/>
      <c r="S11" s="198"/>
      <c r="T11" s="213"/>
      <c r="U11" s="124"/>
      <c r="V11" s="124"/>
      <c r="W11" s="135"/>
      <c r="X11" s="182">
        <v>9</v>
      </c>
      <c r="Y11" s="200"/>
      <c r="Z11" s="201"/>
      <c r="AA11" s="182"/>
      <c r="AB11" s="182"/>
      <c r="AC11" s="108"/>
      <c r="AD11" s="108"/>
      <c r="AE11" s="108">
        <f t="shared" si="2"/>
        <v>0</v>
      </c>
      <c r="AF11" s="182"/>
      <c r="AG11" s="182"/>
      <c r="AH11" s="202"/>
      <c r="AI11" s="203"/>
      <c r="AJ11" s="108">
        <f t="shared" si="6"/>
        <v>0</v>
      </c>
      <c r="AK11" s="163"/>
      <c r="AL11" s="124"/>
      <c r="AM11" s="124"/>
      <c r="AN11" s="22"/>
      <c r="AQ11" s="100"/>
      <c r="AR11" s="59"/>
      <c r="AS11" s="59"/>
      <c r="AT11" s="59"/>
      <c r="AU11" s="59"/>
      <c r="AV11" s="75"/>
      <c r="AW11" s="100"/>
      <c r="AY11" s="2"/>
      <c r="AZ11" s="2"/>
      <c r="BA11" s="2"/>
      <c r="BB11" s="2"/>
    </row>
    <row r="12" spans="1:57" ht="19.5" thickBot="1" x14ac:dyDescent="0.35">
      <c r="A12" s="166">
        <v>44782</v>
      </c>
      <c r="B12" s="190"/>
      <c r="C12" s="179"/>
      <c r="D12" s="179"/>
      <c r="E12" s="175"/>
      <c r="F12" s="170">
        <f t="shared" si="3"/>
        <v>0</v>
      </c>
      <c r="G12" s="171">
        <f t="shared" si="4"/>
        <v>0</v>
      </c>
      <c r="H12" s="179"/>
      <c r="I12" s="191"/>
      <c r="J12" s="175"/>
      <c r="K12" s="192">
        <f t="shared" si="0"/>
        <v>0</v>
      </c>
      <c r="L12" s="193">
        <f t="shared" si="1"/>
        <v>0</v>
      </c>
      <c r="M12" s="214"/>
      <c r="N12" s="194"/>
      <c r="O12" s="195">
        <f t="shared" si="5"/>
        <v>268.89999999999998</v>
      </c>
      <c r="P12" s="196"/>
      <c r="Q12" s="211"/>
      <c r="R12" s="212"/>
      <c r="S12" s="198"/>
      <c r="T12" s="213"/>
      <c r="U12" s="124"/>
      <c r="V12" s="124"/>
      <c r="W12" s="135"/>
      <c r="X12" s="182">
        <v>10</v>
      </c>
      <c r="Y12" s="200"/>
      <c r="Z12" s="201"/>
      <c r="AA12" s="182"/>
      <c r="AB12" s="182"/>
      <c r="AC12" s="108"/>
      <c r="AD12" s="108"/>
      <c r="AE12" s="108">
        <f t="shared" si="2"/>
        <v>0</v>
      </c>
      <c r="AF12" s="182"/>
      <c r="AG12" s="182"/>
      <c r="AH12" s="202"/>
      <c r="AI12" s="203"/>
      <c r="AJ12" s="108">
        <f t="shared" si="6"/>
        <v>0</v>
      </c>
      <c r="AK12" s="163"/>
      <c r="AL12" s="124"/>
      <c r="AM12" s="124"/>
      <c r="AN12" s="22"/>
      <c r="AQ12" s="100"/>
      <c r="AR12" s="75"/>
      <c r="AS12" s="59"/>
      <c r="AT12" s="59"/>
      <c r="AU12" s="59"/>
      <c r="AV12" s="75"/>
      <c r="AW12" s="100"/>
      <c r="AY12" s="2"/>
      <c r="AZ12" s="2"/>
      <c r="BA12" s="2"/>
      <c r="BB12" s="2"/>
    </row>
    <row r="13" spans="1:57" ht="19.5" thickBot="1" x14ac:dyDescent="0.35">
      <c r="A13" s="166">
        <v>44783</v>
      </c>
      <c r="B13" s="190"/>
      <c r="C13" s="179"/>
      <c r="D13" s="179"/>
      <c r="E13" s="175"/>
      <c r="F13" s="170">
        <f t="shared" si="3"/>
        <v>0</v>
      </c>
      <c r="G13" s="171">
        <f t="shared" si="4"/>
        <v>0</v>
      </c>
      <c r="H13" s="179"/>
      <c r="I13" s="191"/>
      <c r="J13" s="175"/>
      <c r="K13" s="192">
        <f t="shared" si="0"/>
        <v>0</v>
      </c>
      <c r="L13" s="193">
        <f t="shared" si="1"/>
        <v>0</v>
      </c>
      <c r="M13" s="174"/>
      <c r="N13" s="194"/>
      <c r="O13" s="195">
        <f t="shared" si="5"/>
        <v>268.89999999999998</v>
      </c>
      <c r="P13" s="196"/>
      <c r="Q13" s="215"/>
      <c r="R13" s="212"/>
      <c r="S13" s="198"/>
      <c r="T13" s="199"/>
      <c r="U13" s="124"/>
      <c r="V13" s="124"/>
      <c r="W13" s="135"/>
      <c r="X13" s="182">
        <v>11</v>
      </c>
      <c r="Y13" s="200"/>
      <c r="Z13" s="201"/>
      <c r="AA13" s="182"/>
      <c r="AB13" s="182"/>
      <c r="AC13" s="108"/>
      <c r="AD13" s="108"/>
      <c r="AE13" s="108">
        <f t="shared" si="2"/>
        <v>0</v>
      </c>
      <c r="AF13" s="182"/>
      <c r="AG13" s="216"/>
      <c r="AH13" s="202"/>
      <c r="AI13" s="203"/>
      <c r="AJ13" s="108">
        <f t="shared" si="6"/>
        <v>0</v>
      </c>
      <c r="AK13" s="301"/>
      <c r="AL13" s="124"/>
      <c r="AM13" s="124"/>
      <c r="AN13" s="16"/>
      <c r="AQ13" s="100"/>
      <c r="AR13" s="75"/>
      <c r="AS13" s="59"/>
      <c r="AT13" s="59"/>
      <c r="AU13" s="59"/>
      <c r="AV13" s="75"/>
      <c r="AW13" s="100"/>
    </row>
    <row r="14" spans="1:57" ht="19.5" thickBot="1" x14ac:dyDescent="0.35">
      <c r="A14" s="166">
        <v>44784</v>
      </c>
      <c r="B14" s="190"/>
      <c r="C14" s="179"/>
      <c r="D14" s="179"/>
      <c r="E14" s="175"/>
      <c r="F14" s="170">
        <f t="shared" si="3"/>
        <v>0</v>
      </c>
      <c r="G14" s="171">
        <f t="shared" si="4"/>
        <v>0</v>
      </c>
      <c r="H14" s="179"/>
      <c r="I14" s="191"/>
      <c r="J14" s="175"/>
      <c r="K14" s="192">
        <f t="shared" si="0"/>
        <v>0</v>
      </c>
      <c r="L14" s="193">
        <f t="shared" si="1"/>
        <v>0</v>
      </c>
      <c r="M14" s="174"/>
      <c r="N14" s="194"/>
      <c r="O14" s="195">
        <f t="shared" si="5"/>
        <v>268.89999999999998</v>
      </c>
      <c r="P14" s="196"/>
      <c r="Q14" s="215"/>
      <c r="R14" s="212"/>
      <c r="S14" s="198"/>
      <c r="T14" s="199"/>
      <c r="U14" s="124"/>
      <c r="V14" s="124"/>
      <c r="W14" s="135"/>
      <c r="X14" s="182">
        <v>12</v>
      </c>
      <c r="Y14" s="217"/>
      <c r="Z14" s="201"/>
      <c r="AA14" s="182"/>
      <c r="AB14" s="182"/>
      <c r="AC14" s="210"/>
      <c r="AD14" s="210"/>
      <c r="AE14" s="108">
        <f t="shared" si="2"/>
        <v>0</v>
      </c>
      <c r="AF14" s="182"/>
      <c r="AG14" s="216"/>
      <c r="AH14" s="202"/>
      <c r="AI14" s="203"/>
      <c r="AJ14" s="108">
        <f t="shared" si="6"/>
        <v>0</v>
      </c>
      <c r="AK14" s="301"/>
      <c r="AL14" s="124"/>
      <c r="AM14" s="124"/>
      <c r="AN14" s="16"/>
      <c r="AO14" s="4"/>
      <c r="AQ14" s="100"/>
      <c r="AR14" s="59"/>
      <c r="AS14" s="59"/>
      <c r="AT14" s="59"/>
      <c r="AU14" s="59"/>
      <c r="AV14" s="75"/>
      <c r="AW14" s="100"/>
    </row>
    <row r="15" spans="1:57" ht="19.5" thickBot="1" x14ac:dyDescent="0.35">
      <c r="A15" s="166">
        <v>44785</v>
      </c>
      <c r="B15" s="190"/>
      <c r="C15" s="179"/>
      <c r="D15" s="179"/>
      <c r="E15" s="175"/>
      <c r="F15" s="170">
        <f t="shared" si="3"/>
        <v>0</v>
      </c>
      <c r="G15" s="171">
        <f t="shared" si="4"/>
        <v>0</v>
      </c>
      <c r="H15" s="179"/>
      <c r="I15" s="191"/>
      <c r="J15" s="175"/>
      <c r="K15" s="192">
        <f t="shared" si="0"/>
        <v>0</v>
      </c>
      <c r="L15" s="193">
        <f t="shared" si="1"/>
        <v>0</v>
      </c>
      <c r="M15" s="174"/>
      <c r="N15" s="194"/>
      <c r="O15" s="195">
        <f t="shared" si="5"/>
        <v>268.89999999999998</v>
      </c>
      <c r="P15" s="196"/>
      <c r="Q15" s="218"/>
      <c r="R15" s="179"/>
      <c r="S15" s="180"/>
      <c r="T15" s="199"/>
      <c r="U15" s="124"/>
      <c r="V15" s="124"/>
      <c r="W15" s="135"/>
      <c r="X15" s="182">
        <v>13</v>
      </c>
      <c r="Y15" s="200"/>
      <c r="Z15" s="201"/>
      <c r="AA15" s="182"/>
      <c r="AB15" s="182"/>
      <c r="AC15" s="210"/>
      <c r="AD15" s="210"/>
      <c r="AE15" s="108">
        <f t="shared" si="2"/>
        <v>0</v>
      </c>
      <c r="AF15" s="182"/>
      <c r="AG15" s="182"/>
      <c r="AH15" s="202"/>
      <c r="AI15" s="203"/>
      <c r="AJ15" s="108">
        <f t="shared" si="6"/>
        <v>0</v>
      </c>
      <c r="AK15" s="301"/>
      <c r="AL15" s="124"/>
      <c r="AM15" s="124"/>
      <c r="AN15" s="16"/>
      <c r="AQ15" s="100"/>
      <c r="AR15" s="59"/>
      <c r="AS15" s="59"/>
      <c r="AT15" s="59"/>
      <c r="AU15" s="59"/>
      <c r="AV15" s="75"/>
      <c r="AW15" s="100"/>
    </row>
    <row r="16" spans="1:57" ht="19.5" thickBot="1" x14ac:dyDescent="0.35">
      <c r="A16" s="166">
        <v>44786</v>
      </c>
      <c r="B16" s="190"/>
      <c r="C16" s="179"/>
      <c r="D16" s="179"/>
      <c r="E16" s="175"/>
      <c r="F16" s="170">
        <f t="shared" si="3"/>
        <v>0</v>
      </c>
      <c r="G16" s="171">
        <f t="shared" si="4"/>
        <v>0</v>
      </c>
      <c r="H16" s="179"/>
      <c r="I16" s="191"/>
      <c r="J16" s="175"/>
      <c r="K16" s="192">
        <f t="shared" si="0"/>
        <v>0</v>
      </c>
      <c r="L16" s="193">
        <f t="shared" si="1"/>
        <v>0</v>
      </c>
      <c r="M16" s="209"/>
      <c r="N16" s="194"/>
      <c r="O16" s="195">
        <f t="shared" si="5"/>
        <v>268.89999999999998</v>
      </c>
      <c r="P16" s="196"/>
      <c r="Q16" s="219"/>
      <c r="R16" s="179"/>
      <c r="S16" s="180"/>
      <c r="T16" s="199"/>
      <c r="U16" s="124"/>
      <c r="V16" s="124"/>
      <c r="W16" s="135"/>
      <c r="X16" s="182">
        <v>14</v>
      </c>
      <c r="Y16" s="200"/>
      <c r="Z16" s="201"/>
      <c r="AA16" s="182"/>
      <c r="AB16" s="182"/>
      <c r="AC16" s="210"/>
      <c r="AD16" s="210"/>
      <c r="AE16" s="108">
        <f t="shared" si="2"/>
        <v>0</v>
      </c>
      <c r="AF16" s="182"/>
      <c r="AG16" s="182"/>
      <c r="AH16" s="202"/>
      <c r="AI16" s="203"/>
      <c r="AJ16" s="108">
        <f t="shared" si="6"/>
        <v>0</v>
      </c>
      <c r="AK16" s="301"/>
      <c r="AL16" s="124"/>
      <c r="AM16" s="124"/>
      <c r="AN16" s="16"/>
      <c r="AQ16" s="100"/>
      <c r="AR16" s="59"/>
      <c r="AS16" s="59"/>
      <c r="AT16" s="59"/>
      <c r="AU16" s="59"/>
      <c r="AV16" s="75"/>
      <c r="AW16" s="100"/>
    </row>
    <row r="17" spans="1:54" ht="19.5" thickBot="1" x14ac:dyDescent="0.35">
      <c r="A17" s="166">
        <v>44787</v>
      </c>
      <c r="B17" s="190"/>
      <c r="C17" s="179"/>
      <c r="D17" s="179"/>
      <c r="E17" s="175"/>
      <c r="F17" s="170">
        <f t="shared" si="3"/>
        <v>0</v>
      </c>
      <c r="G17" s="171">
        <f t="shared" si="4"/>
        <v>0</v>
      </c>
      <c r="H17" s="179"/>
      <c r="I17" s="191"/>
      <c r="J17" s="175"/>
      <c r="K17" s="192">
        <f t="shared" si="0"/>
        <v>0</v>
      </c>
      <c r="L17" s="193">
        <f t="shared" si="1"/>
        <v>0</v>
      </c>
      <c r="M17" s="209"/>
      <c r="N17" s="194"/>
      <c r="O17" s="195">
        <f>SUM(L17-M17-N17+O16+P17)</f>
        <v>268.89999999999998</v>
      </c>
      <c r="P17" s="196"/>
      <c r="Q17" s="218"/>
      <c r="R17" s="179"/>
      <c r="S17" s="180"/>
      <c r="T17" s="199"/>
      <c r="U17" s="124"/>
      <c r="V17" s="124"/>
      <c r="W17" s="135"/>
      <c r="X17" s="182">
        <v>15</v>
      </c>
      <c r="Y17" s="200"/>
      <c r="Z17" s="201"/>
      <c r="AA17" s="182"/>
      <c r="AB17" s="182"/>
      <c r="AC17" s="210"/>
      <c r="AD17" s="210"/>
      <c r="AE17" s="108">
        <f t="shared" si="2"/>
        <v>0</v>
      </c>
      <c r="AF17" s="182"/>
      <c r="AG17" s="216"/>
      <c r="AH17" s="202"/>
      <c r="AI17" s="203"/>
      <c r="AJ17" s="108">
        <f t="shared" si="6"/>
        <v>0</v>
      </c>
      <c r="AK17" s="301"/>
      <c r="AL17" s="124"/>
      <c r="AM17" s="124"/>
      <c r="AN17" s="16"/>
      <c r="AQ17" s="100"/>
      <c r="AR17" s="59"/>
      <c r="AS17" s="59"/>
      <c r="AT17" s="59"/>
      <c r="AU17" s="59"/>
      <c r="AV17" s="75"/>
      <c r="AW17" s="100"/>
    </row>
    <row r="18" spans="1:54" ht="19.5" thickBot="1" x14ac:dyDescent="0.35">
      <c r="A18" s="166">
        <v>44788</v>
      </c>
      <c r="B18" s="190"/>
      <c r="C18" s="179"/>
      <c r="D18" s="179"/>
      <c r="E18" s="175"/>
      <c r="F18" s="170">
        <f t="shared" si="3"/>
        <v>0</v>
      </c>
      <c r="G18" s="171">
        <f t="shared" si="4"/>
        <v>0</v>
      </c>
      <c r="H18" s="179"/>
      <c r="I18" s="191"/>
      <c r="J18" s="175"/>
      <c r="K18" s="192">
        <f t="shared" si="0"/>
        <v>0</v>
      </c>
      <c r="L18" s="193">
        <f t="shared" si="1"/>
        <v>0</v>
      </c>
      <c r="M18" s="174"/>
      <c r="N18" s="220"/>
      <c r="O18" s="195">
        <f>SUM(L18-M18-N18+O17+P18)</f>
        <v>268.89999999999998</v>
      </c>
      <c r="P18" s="196"/>
      <c r="Q18" s="218"/>
      <c r="R18" s="179"/>
      <c r="S18" s="180"/>
      <c r="T18" s="199"/>
      <c r="U18" s="124"/>
      <c r="V18" s="124"/>
      <c r="W18" s="135"/>
      <c r="X18" s="182">
        <v>16</v>
      </c>
      <c r="Y18" s="200"/>
      <c r="Z18" s="201"/>
      <c r="AA18" s="182"/>
      <c r="AB18" s="182"/>
      <c r="AC18" s="108"/>
      <c r="AD18" s="108"/>
      <c r="AE18" s="108">
        <f t="shared" si="2"/>
        <v>0</v>
      </c>
      <c r="AF18" s="182"/>
      <c r="AG18" s="182"/>
      <c r="AH18" s="202"/>
      <c r="AI18" s="203"/>
      <c r="AJ18" s="108">
        <f t="shared" si="6"/>
        <v>0</v>
      </c>
      <c r="AK18" s="301"/>
      <c r="AL18" s="124"/>
      <c r="AM18" s="124"/>
      <c r="AN18" s="16"/>
      <c r="AQ18" s="100"/>
      <c r="AR18" s="59"/>
      <c r="AS18" s="59"/>
      <c r="AT18" s="59"/>
      <c r="AU18" s="59"/>
      <c r="AV18" s="59"/>
      <c r="AW18" s="100"/>
    </row>
    <row r="19" spans="1:54" ht="19.5" thickBot="1" x14ac:dyDescent="0.35">
      <c r="A19" s="166">
        <v>44789</v>
      </c>
      <c r="B19" s="190"/>
      <c r="C19" s="179"/>
      <c r="D19" s="179"/>
      <c r="E19" s="175"/>
      <c r="F19" s="170">
        <f t="shared" si="3"/>
        <v>0</v>
      </c>
      <c r="G19" s="171">
        <f t="shared" si="4"/>
        <v>0</v>
      </c>
      <c r="H19" s="179"/>
      <c r="I19" s="191"/>
      <c r="J19" s="175"/>
      <c r="K19" s="192">
        <f t="shared" si="0"/>
        <v>0</v>
      </c>
      <c r="L19" s="193">
        <f t="shared" si="1"/>
        <v>0</v>
      </c>
      <c r="M19" s="174"/>
      <c r="N19" s="194"/>
      <c r="O19" s="195">
        <f>SUM(L19-M19-N19+O18+P19)</f>
        <v>268.89999999999998</v>
      </c>
      <c r="P19" s="196"/>
      <c r="Q19" s="218"/>
      <c r="R19" s="179"/>
      <c r="S19" s="180"/>
      <c r="T19" s="199"/>
      <c r="U19" s="124"/>
      <c r="V19" s="124"/>
      <c r="W19" s="135"/>
      <c r="X19" s="182">
        <v>17</v>
      </c>
      <c r="Y19" s="200"/>
      <c r="Z19" s="201"/>
      <c r="AA19" s="182"/>
      <c r="AB19" s="182"/>
      <c r="AC19" s="210"/>
      <c r="AD19" s="210"/>
      <c r="AE19" s="108">
        <f t="shared" si="2"/>
        <v>0</v>
      </c>
      <c r="AF19" s="208"/>
      <c r="AG19" s="182"/>
      <c r="AH19" s="202"/>
      <c r="AI19" s="203"/>
      <c r="AJ19" s="108">
        <f t="shared" si="6"/>
        <v>0</v>
      </c>
      <c r="AK19" s="301"/>
      <c r="AL19" s="124"/>
      <c r="AM19" s="124"/>
      <c r="AN19" s="16"/>
      <c r="AQ19" s="100"/>
      <c r="AR19" s="59"/>
      <c r="AS19" s="59"/>
      <c r="AT19" s="59"/>
      <c r="AU19" s="59"/>
      <c r="AV19" s="59"/>
      <c r="AW19" s="100"/>
    </row>
    <row r="20" spans="1:54" ht="19.5" thickBot="1" x14ac:dyDescent="0.35">
      <c r="A20" s="166">
        <v>44790</v>
      </c>
      <c r="B20" s="190"/>
      <c r="C20" s="179"/>
      <c r="D20" s="179"/>
      <c r="E20" s="175"/>
      <c r="F20" s="170">
        <f t="shared" si="3"/>
        <v>0</v>
      </c>
      <c r="G20" s="171">
        <f t="shared" si="4"/>
        <v>0</v>
      </c>
      <c r="H20" s="179"/>
      <c r="I20" s="191"/>
      <c r="J20" s="175"/>
      <c r="K20" s="192">
        <f t="shared" si="0"/>
        <v>0</v>
      </c>
      <c r="L20" s="193">
        <f t="shared" si="1"/>
        <v>0</v>
      </c>
      <c r="M20" s="174"/>
      <c r="N20" s="194"/>
      <c r="O20" s="195">
        <f>SUM(L20-M20-N20+O19+P20)</f>
        <v>268.89999999999998</v>
      </c>
      <c r="P20" s="196"/>
      <c r="Q20" s="218"/>
      <c r="R20" s="179"/>
      <c r="S20" s="180"/>
      <c r="T20" s="199"/>
      <c r="U20" s="124"/>
      <c r="V20" s="124"/>
      <c r="W20" s="135"/>
      <c r="X20" s="182">
        <v>18</v>
      </c>
      <c r="Y20" s="200"/>
      <c r="Z20" s="201"/>
      <c r="AA20" s="182"/>
      <c r="AB20" s="182"/>
      <c r="AC20" s="210"/>
      <c r="AD20" s="210"/>
      <c r="AE20" s="108">
        <f t="shared" si="2"/>
        <v>0</v>
      </c>
      <c r="AF20" s="182"/>
      <c r="AG20" s="216"/>
      <c r="AH20" s="202"/>
      <c r="AI20" s="203"/>
      <c r="AJ20" s="108">
        <f t="shared" si="6"/>
        <v>0</v>
      </c>
      <c r="AK20" s="301"/>
      <c r="AL20" s="124"/>
      <c r="AM20" s="124"/>
      <c r="AN20" s="22"/>
      <c r="AQ20" s="100"/>
      <c r="AR20" s="59"/>
      <c r="AS20" s="59"/>
      <c r="AT20" s="59"/>
      <c r="AU20" s="59"/>
      <c r="AV20" s="59"/>
      <c r="AW20" s="100"/>
    </row>
    <row r="21" spans="1:54" ht="19.5" thickBot="1" x14ac:dyDescent="0.35">
      <c r="A21" s="166">
        <v>44791</v>
      </c>
      <c r="B21" s="190"/>
      <c r="C21" s="179"/>
      <c r="D21" s="179"/>
      <c r="E21" s="175"/>
      <c r="F21" s="170">
        <f t="shared" si="3"/>
        <v>0</v>
      </c>
      <c r="G21" s="171">
        <f t="shared" si="4"/>
        <v>0</v>
      </c>
      <c r="H21" s="179"/>
      <c r="I21" s="191"/>
      <c r="J21" s="175"/>
      <c r="K21" s="192">
        <f t="shared" si="0"/>
        <v>0</v>
      </c>
      <c r="L21" s="193">
        <f t="shared" si="1"/>
        <v>0</v>
      </c>
      <c r="M21" s="174"/>
      <c r="N21" s="194"/>
      <c r="O21" s="195">
        <f t="shared" si="5"/>
        <v>268.89999999999998</v>
      </c>
      <c r="P21" s="196"/>
      <c r="Q21" s="218"/>
      <c r="R21" s="179"/>
      <c r="S21" s="180"/>
      <c r="T21" s="199"/>
      <c r="U21" s="124"/>
      <c r="V21" s="124"/>
      <c r="W21" s="135"/>
      <c r="X21" s="182">
        <v>19</v>
      </c>
      <c r="Y21" s="200"/>
      <c r="Z21" s="201"/>
      <c r="AA21" s="182"/>
      <c r="AB21" s="221"/>
      <c r="AC21" s="108"/>
      <c r="AD21" s="108"/>
      <c r="AE21" s="108">
        <f t="shared" si="2"/>
        <v>0</v>
      </c>
      <c r="AF21" s="182"/>
      <c r="AG21" s="182"/>
      <c r="AH21" s="202"/>
      <c r="AI21" s="203"/>
      <c r="AJ21" s="108">
        <f t="shared" si="6"/>
        <v>0</v>
      </c>
      <c r="AK21" s="301"/>
      <c r="AL21" s="124"/>
      <c r="AM21" s="124"/>
      <c r="AN21" s="22"/>
      <c r="AQ21" s="100"/>
      <c r="AR21" s="59"/>
      <c r="AS21" s="59"/>
      <c r="AT21" s="59"/>
      <c r="AU21" s="59"/>
      <c r="AV21" s="59"/>
      <c r="AW21" s="100"/>
    </row>
    <row r="22" spans="1:54" ht="19.5" thickBot="1" x14ac:dyDescent="0.35">
      <c r="A22" s="166">
        <v>44792</v>
      </c>
      <c r="B22" s="190"/>
      <c r="C22" s="179"/>
      <c r="D22" s="179"/>
      <c r="E22" s="175"/>
      <c r="F22" s="170">
        <f t="shared" si="3"/>
        <v>0</v>
      </c>
      <c r="G22" s="171">
        <f t="shared" si="4"/>
        <v>0</v>
      </c>
      <c r="H22" s="179"/>
      <c r="I22" s="191"/>
      <c r="J22" s="175"/>
      <c r="K22" s="192">
        <f t="shared" si="0"/>
        <v>0</v>
      </c>
      <c r="L22" s="193">
        <f t="shared" si="1"/>
        <v>0</v>
      </c>
      <c r="M22" s="174"/>
      <c r="N22" s="194"/>
      <c r="O22" s="195">
        <f t="shared" si="5"/>
        <v>268.89999999999998</v>
      </c>
      <c r="P22" s="196"/>
      <c r="Q22" s="218"/>
      <c r="R22" s="179"/>
      <c r="S22" s="180"/>
      <c r="T22" s="199"/>
      <c r="U22" s="124"/>
      <c r="V22" s="124"/>
      <c r="W22" s="135"/>
      <c r="X22" s="182">
        <v>20</v>
      </c>
      <c r="Y22" s="200"/>
      <c r="Z22" s="201"/>
      <c r="AA22" s="182"/>
      <c r="AB22" s="221"/>
      <c r="AC22" s="210"/>
      <c r="AD22" s="210"/>
      <c r="AE22" s="108">
        <f t="shared" si="2"/>
        <v>0</v>
      </c>
      <c r="AF22" s="182"/>
      <c r="AG22" s="182"/>
      <c r="AH22" s="202"/>
      <c r="AI22" s="203"/>
      <c r="AJ22" s="108">
        <f t="shared" si="6"/>
        <v>0</v>
      </c>
      <c r="AK22" s="301"/>
      <c r="AL22" s="124"/>
      <c r="AM22" s="124"/>
      <c r="AN22" s="16"/>
      <c r="AQ22" s="100"/>
      <c r="AR22" s="59"/>
      <c r="AS22" s="71"/>
      <c r="AT22" s="71"/>
      <c r="AU22" s="71"/>
      <c r="AV22" s="59"/>
      <c r="AW22" s="100"/>
    </row>
    <row r="23" spans="1:54" ht="19.5" thickBot="1" x14ac:dyDescent="0.35">
      <c r="A23" s="166">
        <v>44793</v>
      </c>
      <c r="B23" s="190"/>
      <c r="C23" s="179"/>
      <c r="D23" s="179"/>
      <c r="E23" s="175"/>
      <c r="F23" s="170">
        <f t="shared" si="3"/>
        <v>0</v>
      </c>
      <c r="G23" s="171">
        <f t="shared" si="4"/>
        <v>0</v>
      </c>
      <c r="H23" s="179"/>
      <c r="I23" s="191"/>
      <c r="J23" s="175"/>
      <c r="K23" s="192">
        <f t="shared" si="0"/>
        <v>0</v>
      </c>
      <c r="L23" s="193">
        <f t="shared" si="1"/>
        <v>0</v>
      </c>
      <c r="M23" s="174"/>
      <c r="N23" s="194"/>
      <c r="O23" s="195">
        <f t="shared" si="5"/>
        <v>268.89999999999998</v>
      </c>
      <c r="P23" s="196"/>
      <c r="Q23" s="211"/>
      <c r="R23" s="212"/>
      <c r="S23" s="180"/>
      <c r="T23" s="222"/>
      <c r="U23" s="124"/>
      <c r="V23" s="124"/>
      <c r="W23" s="135"/>
      <c r="X23" s="182">
        <v>21</v>
      </c>
      <c r="Y23" s="223"/>
      <c r="Z23" s="224"/>
      <c r="AA23" s="208"/>
      <c r="AB23" s="225"/>
      <c r="AC23" s="108"/>
      <c r="AD23" s="108"/>
      <c r="AE23" s="108">
        <f t="shared" si="2"/>
        <v>0</v>
      </c>
      <c r="AF23" s="208"/>
      <c r="AG23" s="226"/>
      <c r="AH23" s="202"/>
      <c r="AI23" s="203"/>
      <c r="AJ23" s="108">
        <f t="shared" si="6"/>
        <v>0</v>
      </c>
      <c r="AK23" s="301"/>
      <c r="AL23" s="124"/>
      <c r="AM23" s="124"/>
      <c r="AN23" s="16"/>
      <c r="AQ23" s="100"/>
      <c r="AR23" s="100"/>
      <c r="AS23" s="100"/>
      <c r="AT23" s="100"/>
      <c r="AU23" s="100"/>
      <c r="AV23" s="100"/>
      <c r="AW23" s="100"/>
    </row>
    <row r="24" spans="1:54" ht="19.5" thickBot="1" x14ac:dyDescent="0.35">
      <c r="A24" s="166">
        <v>44794</v>
      </c>
      <c r="B24" s="190"/>
      <c r="C24" s="179"/>
      <c r="D24" s="179"/>
      <c r="E24" s="175"/>
      <c r="F24" s="170">
        <f t="shared" si="3"/>
        <v>0</v>
      </c>
      <c r="G24" s="171">
        <f t="shared" si="4"/>
        <v>0</v>
      </c>
      <c r="H24" s="179"/>
      <c r="I24" s="191"/>
      <c r="J24" s="175"/>
      <c r="K24" s="192">
        <f t="shared" si="0"/>
        <v>0</v>
      </c>
      <c r="L24" s="193">
        <f t="shared" si="1"/>
        <v>0</v>
      </c>
      <c r="M24" s="209"/>
      <c r="N24" s="194"/>
      <c r="O24" s="195">
        <f>SUM(L24-M24-N24+O23+P24)</f>
        <v>268.89999999999998</v>
      </c>
      <c r="P24" s="196"/>
      <c r="Q24" s="211"/>
      <c r="R24" s="212"/>
      <c r="S24" s="180"/>
      <c r="T24" s="222"/>
      <c r="U24" s="124"/>
      <c r="V24" s="124"/>
      <c r="W24" s="135"/>
      <c r="X24" s="182">
        <v>22</v>
      </c>
      <c r="Y24" s="200"/>
      <c r="Z24" s="201"/>
      <c r="AA24" s="182"/>
      <c r="AB24" s="227"/>
      <c r="AC24" s="210"/>
      <c r="AD24" s="210"/>
      <c r="AE24" s="108">
        <f t="shared" si="2"/>
        <v>0</v>
      </c>
      <c r="AF24" s="182"/>
      <c r="AG24" s="226"/>
      <c r="AH24" s="202"/>
      <c r="AI24" s="203"/>
      <c r="AJ24" s="108">
        <f t="shared" si="6"/>
        <v>0</v>
      </c>
      <c r="AK24" s="301"/>
      <c r="AL24" s="124"/>
      <c r="AM24" s="124"/>
      <c r="AN24" s="16"/>
    </row>
    <row r="25" spans="1:54" ht="19.5" thickBot="1" x14ac:dyDescent="0.35">
      <c r="A25" s="166">
        <v>44795</v>
      </c>
      <c r="B25" s="190"/>
      <c r="C25" s="179"/>
      <c r="D25" s="179"/>
      <c r="E25" s="175"/>
      <c r="F25" s="170">
        <f t="shared" si="3"/>
        <v>0</v>
      </c>
      <c r="G25" s="171">
        <f t="shared" si="4"/>
        <v>0</v>
      </c>
      <c r="H25" s="179"/>
      <c r="I25" s="191"/>
      <c r="J25" s="175"/>
      <c r="K25" s="192">
        <f t="shared" si="0"/>
        <v>0</v>
      </c>
      <c r="L25" s="193">
        <f t="shared" si="1"/>
        <v>0</v>
      </c>
      <c r="M25" s="174"/>
      <c r="N25" s="194"/>
      <c r="O25" s="195">
        <f t="shared" si="5"/>
        <v>268.89999999999998</v>
      </c>
      <c r="P25" s="196"/>
      <c r="Q25" s="178"/>
      <c r="R25" s="179"/>
      <c r="S25" s="180"/>
      <c r="T25" s="181"/>
      <c r="U25" s="124"/>
      <c r="V25" s="124"/>
      <c r="W25" s="135"/>
      <c r="X25" s="182">
        <v>26</v>
      </c>
      <c r="Y25" s="223"/>
      <c r="Z25" s="224"/>
      <c r="AA25" s="208"/>
      <c r="AB25" s="228"/>
      <c r="AC25" s="210"/>
      <c r="AD25" s="210"/>
      <c r="AE25" s="108">
        <f t="shared" si="2"/>
        <v>0</v>
      </c>
      <c r="AF25" s="208"/>
      <c r="AG25" s="226"/>
      <c r="AH25" s="202"/>
      <c r="AI25" s="203"/>
      <c r="AJ25" s="108">
        <f t="shared" si="6"/>
        <v>0</v>
      </c>
      <c r="AK25" s="301"/>
      <c r="AL25" s="124"/>
      <c r="AM25" s="124"/>
      <c r="AN25" s="16"/>
      <c r="AW25" s="2"/>
    </row>
    <row r="26" spans="1:54" ht="19.5" thickBot="1" x14ac:dyDescent="0.35">
      <c r="A26" s="166">
        <v>44796</v>
      </c>
      <c r="B26" s="190"/>
      <c r="C26" s="179"/>
      <c r="D26" s="179"/>
      <c r="E26" s="175"/>
      <c r="F26" s="170">
        <f t="shared" si="3"/>
        <v>0</v>
      </c>
      <c r="G26" s="171">
        <f t="shared" si="4"/>
        <v>0</v>
      </c>
      <c r="H26" s="179"/>
      <c r="I26" s="191"/>
      <c r="J26" s="175"/>
      <c r="K26" s="192">
        <f t="shared" si="0"/>
        <v>0</v>
      </c>
      <c r="L26" s="193">
        <f t="shared" si="1"/>
        <v>0</v>
      </c>
      <c r="M26" s="174"/>
      <c r="N26" s="194"/>
      <c r="O26" s="195">
        <f t="shared" si="5"/>
        <v>268.89999999999998</v>
      </c>
      <c r="P26" s="196"/>
      <c r="Q26" s="178"/>
      <c r="R26" s="179"/>
      <c r="S26" s="180"/>
      <c r="T26" s="222"/>
      <c r="U26" s="124"/>
      <c r="V26" s="124"/>
      <c r="W26" s="135"/>
      <c r="X26" s="182">
        <v>27</v>
      </c>
      <c r="Y26" s="223"/>
      <c r="Z26" s="224"/>
      <c r="AA26" s="208"/>
      <c r="AB26" s="228"/>
      <c r="AC26" s="210"/>
      <c r="AD26" s="210"/>
      <c r="AE26" s="108">
        <f t="shared" si="2"/>
        <v>0</v>
      </c>
      <c r="AF26" s="208"/>
      <c r="AG26" s="226"/>
      <c r="AH26" s="202"/>
      <c r="AI26" s="203"/>
      <c r="AJ26" s="108">
        <f t="shared" si="6"/>
        <v>0</v>
      </c>
      <c r="AK26" s="301"/>
      <c r="AL26" s="124"/>
      <c r="AM26" s="124"/>
      <c r="AN26" s="16"/>
      <c r="AW26" s="2"/>
      <c r="AY26" s="2"/>
    </row>
    <row r="27" spans="1:54" ht="19.5" thickBot="1" x14ac:dyDescent="0.35">
      <c r="A27" s="166">
        <v>44797</v>
      </c>
      <c r="B27" s="190"/>
      <c r="C27" s="179"/>
      <c r="D27" s="179"/>
      <c r="E27" s="175"/>
      <c r="F27" s="170">
        <f t="shared" si="3"/>
        <v>0</v>
      </c>
      <c r="G27" s="171">
        <f t="shared" si="4"/>
        <v>0</v>
      </c>
      <c r="H27" s="179"/>
      <c r="I27" s="191"/>
      <c r="J27" s="175"/>
      <c r="K27" s="192">
        <f t="shared" si="0"/>
        <v>0</v>
      </c>
      <c r="L27" s="193">
        <f t="shared" si="1"/>
        <v>0</v>
      </c>
      <c r="M27" s="209"/>
      <c r="N27" s="194"/>
      <c r="O27" s="195">
        <f t="shared" si="5"/>
        <v>268.89999999999998</v>
      </c>
      <c r="P27" s="196"/>
      <c r="Q27" s="178"/>
      <c r="R27" s="179"/>
      <c r="S27" s="180"/>
      <c r="T27" s="222"/>
      <c r="U27" s="124"/>
      <c r="V27" s="124"/>
      <c r="W27" s="135"/>
      <c r="X27" s="182">
        <v>28</v>
      </c>
      <c r="Y27" s="200"/>
      <c r="Z27" s="201"/>
      <c r="AA27" s="182"/>
      <c r="AB27" s="182"/>
      <c r="AC27" s="210"/>
      <c r="AD27" s="210"/>
      <c r="AE27" s="108">
        <f t="shared" si="2"/>
        <v>0</v>
      </c>
      <c r="AF27" s="182"/>
      <c r="AG27" s="182"/>
      <c r="AH27" s="202"/>
      <c r="AI27" s="203"/>
      <c r="AJ27" s="108">
        <f t="shared" si="6"/>
        <v>0</v>
      </c>
      <c r="AK27" s="301"/>
      <c r="AL27" s="124"/>
      <c r="AM27" s="124"/>
      <c r="AN27" s="16"/>
      <c r="AR27" s="2"/>
      <c r="AS27" s="2"/>
      <c r="AT27" s="2"/>
      <c r="AU27" s="2"/>
      <c r="AV27" s="2"/>
      <c r="AW27" s="2"/>
      <c r="AY27" s="2"/>
      <c r="AZ27" s="2"/>
      <c r="BA27" s="2"/>
      <c r="BB27" s="2"/>
    </row>
    <row r="28" spans="1:54" ht="19.5" thickBot="1" x14ac:dyDescent="0.35">
      <c r="A28" s="166">
        <v>44798</v>
      </c>
      <c r="B28" s="190"/>
      <c r="C28" s="179"/>
      <c r="D28" s="179"/>
      <c r="E28" s="175"/>
      <c r="F28" s="170">
        <f t="shared" si="3"/>
        <v>0</v>
      </c>
      <c r="G28" s="171">
        <f t="shared" si="4"/>
        <v>0</v>
      </c>
      <c r="H28" s="179"/>
      <c r="I28" s="191"/>
      <c r="J28" s="175"/>
      <c r="K28" s="192">
        <f t="shared" si="0"/>
        <v>0</v>
      </c>
      <c r="L28" s="193">
        <f t="shared" si="1"/>
        <v>0</v>
      </c>
      <c r="M28" s="174"/>
      <c r="N28" s="194"/>
      <c r="O28" s="195">
        <f>SUM(L28-M28-N28+O27+P28)</f>
        <v>268.89999999999998</v>
      </c>
      <c r="P28" s="196"/>
      <c r="Q28" s="178"/>
      <c r="R28" s="179"/>
      <c r="S28" s="180"/>
      <c r="T28" s="222"/>
      <c r="U28" s="124"/>
      <c r="V28" s="124"/>
      <c r="W28" s="135"/>
      <c r="X28" s="182">
        <v>29</v>
      </c>
      <c r="Y28" s="200"/>
      <c r="Z28" s="201"/>
      <c r="AA28" s="182"/>
      <c r="AB28" s="182"/>
      <c r="AC28" s="210"/>
      <c r="AD28" s="210"/>
      <c r="AE28" s="108">
        <f t="shared" si="2"/>
        <v>0</v>
      </c>
      <c r="AF28" s="182"/>
      <c r="AG28" s="182"/>
      <c r="AH28" s="202"/>
      <c r="AI28" s="203"/>
      <c r="AJ28" s="108">
        <f t="shared" si="6"/>
        <v>0</v>
      </c>
      <c r="AK28" s="163"/>
      <c r="AL28" s="124"/>
      <c r="AM28" s="124"/>
      <c r="AN28" s="16"/>
      <c r="AR28" s="92"/>
      <c r="AS28" s="11"/>
      <c r="AT28" s="11"/>
      <c r="AU28" s="11"/>
      <c r="AV28" s="2"/>
      <c r="AW28" s="2"/>
      <c r="AY28" s="2"/>
      <c r="AZ28" s="2"/>
      <c r="BA28" s="12"/>
      <c r="BB28" s="2"/>
    </row>
    <row r="29" spans="1:54" ht="19.5" thickBot="1" x14ac:dyDescent="0.35">
      <c r="A29" s="166">
        <v>44799</v>
      </c>
      <c r="B29" s="190"/>
      <c r="C29" s="179"/>
      <c r="D29" s="179"/>
      <c r="E29" s="175"/>
      <c r="F29" s="170">
        <f t="shared" si="3"/>
        <v>0</v>
      </c>
      <c r="G29" s="171">
        <f t="shared" si="4"/>
        <v>0</v>
      </c>
      <c r="H29" s="179"/>
      <c r="I29" s="191"/>
      <c r="J29" s="175"/>
      <c r="K29" s="192">
        <f t="shared" si="0"/>
        <v>0</v>
      </c>
      <c r="L29" s="193">
        <f t="shared" si="1"/>
        <v>0</v>
      </c>
      <c r="M29" s="174"/>
      <c r="N29" s="194"/>
      <c r="O29" s="195">
        <f t="shared" si="5"/>
        <v>268.89999999999998</v>
      </c>
      <c r="P29" s="135"/>
      <c r="Q29" s="178"/>
      <c r="R29" s="179"/>
      <c r="S29" s="180"/>
      <c r="T29" s="222"/>
      <c r="U29" s="124"/>
      <c r="V29" s="124"/>
      <c r="W29" s="135"/>
      <c r="X29" s="182">
        <v>30</v>
      </c>
      <c r="Y29" s="200"/>
      <c r="Z29" s="201"/>
      <c r="AA29" s="182"/>
      <c r="AB29" s="182"/>
      <c r="AC29" s="108"/>
      <c r="AD29" s="108"/>
      <c r="AE29" s="108">
        <f t="shared" si="2"/>
        <v>0</v>
      </c>
      <c r="AF29" s="182"/>
      <c r="AG29" s="182"/>
      <c r="AH29" s="202"/>
      <c r="AI29" s="203"/>
      <c r="AJ29" s="108">
        <f t="shared" si="6"/>
        <v>0</v>
      </c>
      <c r="AK29" s="163"/>
      <c r="AL29" s="124"/>
      <c r="AM29" s="124"/>
      <c r="AN29" s="22"/>
      <c r="AR29" s="92"/>
      <c r="AS29" s="11"/>
      <c r="AT29" s="11"/>
      <c r="AU29" s="11"/>
      <c r="AV29" s="2"/>
      <c r="AW29" s="2"/>
      <c r="AY29" s="12"/>
      <c r="AZ29" s="2"/>
      <c r="BA29" s="12"/>
      <c r="BB29" s="2"/>
    </row>
    <row r="30" spans="1:54" ht="19.5" thickBot="1" x14ac:dyDescent="0.35">
      <c r="A30" s="166">
        <v>44800</v>
      </c>
      <c r="B30" s="229"/>
      <c r="C30" s="179"/>
      <c r="D30" s="179"/>
      <c r="E30" s="175"/>
      <c r="F30" s="170">
        <f t="shared" si="3"/>
        <v>0</v>
      </c>
      <c r="G30" s="171">
        <f t="shared" si="4"/>
        <v>0</v>
      </c>
      <c r="H30" s="179"/>
      <c r="I30" s="191"/>
      <c r="J30" s="175"/>
      <c r="K30" s="192">
        <f t="shared" si="0"/>
        <v>0</v>
      </c>
      <c r="L30" s="193">
        <f t="shared" si="1"/>
        <v>0</v>
      </c>
      <c r="M30" s="209"/>
      <c r="N30" s="194"/>
      <c r="O30" s="195">
        <f>SUM(L30-M30-N30+O29+P30)</f>
        <v>268.89999999999998</v>
      </c>
      <c r="P30" s="135"/>
      <c r="Q30" s="178"/>
      <c r="R30" s="179"/>
      <c r="S30" s="230"/>
      <c r="T30" s="222"/>
      <c r="U30" s="124"/>
      <c r="V30" s="124"/>
      <c r="W30" s="135"/>
      <c r="X30" s="24"/>
      <c r="Y30" s="160"/>
      <c r="Z30" s="161"/>
      <c r="AA30" s="24"/>
      <c r="AB30" s="24"/>
      <c r="AC30" s="231" t="s">
        <v>16</v>
      </c>
      <c r="AD30" s="231">
        <f>SUM(AD3:AD29)</f>
        <v>0</v>
      </c>
      <c r="AE30" s="163"/>
      <c r="AF30" s="232"/>
      <c r="AG30" s="24"/>
      <c r="AH30" s="233"/>
      <c r="AI30" s="165"/>
      <c r="AJ30" s="163"/>
      <c r="AK30" s="163"/>
      <c r="AL30" s="124"/>
      <c r="AM30" s="124"/>
      <c r="AN30" s="22"/>
      <c r="AR30" s="92"/>
      <c r="AS30" s="11"/>
      <c r="AT30" s="11"/>
      <c r="AU30" s="11"/>
      <c r="AV30" s="2"/>
      <c r="AW30" s="2"/>
      <c r="AY30" s="12"/>
      <c r="AZ30" s="2"/>
      <c r="BA30" s="12"/>
      <c r="BB30" s="2"/>
    </row>
    <row r="31" spans="1:54" ht="19.5" thickBot="1" x14ac:dyDescent="0.35">
      <c r="A31" s="166">
        <v>44801</v>
      </c>
      <c r="B31" s="234"/>
      <c r="C31" s="235"/>
      <c r="D31" s="236"/>
      <c r="E31" s="175"/>
      <c r="F31" s="170">
        <f t="shared" si="3"/>
        <v>0</v>
      </c>
      <c r="G31" s="171">
        <f t="shared" si="4"/>
        <v>0</v>
      </c>
      <c r="H31" s="179"/>
      <c r="I31" s="191"/>
      <c r="J31" s="237"/>
      <c r="K31" s="192">
        <f t="shared" si="0"/>
        <v>0</v>
      </c>
      <c r="L31" s="193">
        <f t="shared" si="1"/>
        <v>0</v>
      </c>
      <c r="M31" s="174"/>
      <c r="N31" s="194"/>
      <c r="O31" s="238">
        <f t="shared" si="5"/>
        <v>268.89999999999998</v>
      </c>
      <c r="P31" s="239" t="s">
        <v>9</v>
      </c>
      <c r="Q31" s="178"/>
      <c r="R31" s="179"/>
      <c r="S31" s="230"/>
      <c r="T31" s="222"/>
      <c r="U31" s="124"/>
      <c r="V31" s="124"/>
      <c r="W31" s="135"/>
      <c r="X31" s="24"/>
      <c r="Y31" s="160"/>
      <c r="Z31" s="161"/>
      <c r="AA31" s="24"/>
      <c r="AB31" s="24"/>
      <c r="AC31" s="163"/>
      <c r="AD31" s="163"/>
      <c r="AE31" s="163"/>
      <c r="AF31" s="24"/>
      <c r="AG31" s="24"/>
      <c r="AH31" s="233"/>
      <c r="AI31" s="165"/>
      <c r="AJ31" s="163"/>
      <c r="AK31" s="301"/>
      <c r="AL31" s="124"/>
      <c r="AM31" s="124"/>
      <c r="AN31" s="22"/>
      <c r="AR31" s="92"/>
      <c r="AS31" s="11"/>
      <c r="AT31" s="11"/>
      <c r="AU31" s="11"/>
      <c r="AV31" s="2"/>
      <c r="AW31" s="2"/>
      <c r="AY31" s="2"/>
      <c r="AZ31" s="2"/>
      <c r="BA31" s="12"/>
      <c r="BB31" s="2"/>
    </row>
    <row r="32" spans="1:54" ht="19.5" thickBot="1" x14ac:dyDescent="0.35">
      <c r="A32" s="166">
        <v>44802</v>
      </c>
      <c r="B32" s="190"/>
      <c r="C32" s="179"/>
      <c r="D32" s="179"/>
      <c r="E32" s="175"/>
      <c r="F32" s="170">
        <f t="shared" si="3"/>
        <v>0</v>
      </c>
      <c r="G32" s="171">
        <f t="shared" si="4"/>
        <v>0</v>
      </c>
      <c r="H32" s="179"/>
      <c r="I32" s="191"/>
      <c r="J32" s="175"/>
      <c r="K32" s="192">
        <f t="shared" si="0"/>
        <v>0</v>
      </c>
      <c r="L32" s="193">
        <f t="shared" si="1"/>
        <v>0</v>
      </c>
      <c r="M32" s="240"/>
      <c r="N32" s="194"/>
      <c r="O32" s="238">
        <f t="shared" si="5"/>
        <v>268.89999999999998</v>
      </c>
      <c r="P32" s="241" t="s">
        <v>10</v>
      </c>
      <c r="Q32" s="242"/>
      <c r="R32" s="179"/>
      <c r="S32" s="230"/>
      <c r="T32" s="222"/>
      <c r="U32" s="124"/>
      <c r="V32" s="124"/>
      <c r="W32" s="135"/>
      <c r="X32" s="24"/>
      <c r="Y32" s="160"/>
      <c r="Z32" s="161"/>
      <c r="AA32" s="182" t="s">
        <v>17</v>
      </c>
      <c r="AB32" s="24"/>
      <c r="AC32" s="244"/>
      <c r="AD32" s="244"/>
      <c r="AE32" s="163"/>
      <c r="AF32" s="24"/>
      <c r="AG32" s="24"/>
      <c r="AH32" s="233"/>
      <c r="AI32" s="165"/>
      <c r="AJ32" s="163"/>
      <c r="AK32" s="163"/>
      <c r="AL32" s="303" t="s">
        <v>31</v>
      </c>
      <c r="AM32" s="304"/>
      <c r="AN32" s="36"/>
      <c r="AR32" s="2"/>
      <c r="AS32" s="11"/>
      <c r="AT32" s="11"/>
      <c r="AU32" s="11"/>
      <c r="AV32" s="2"/>
      <c r="AW32" s="2"/>
      <c r="AY32" s="2"/>
      <c r="AZ32" s="2"/>
      <c r="BA32" s="2"/>
      <c r="BB32" s="2"/>
    </row>
    <row r="33" spans="1:54" ht="19.5" thickBot="1" x14ac:dyDescent="0.35">
      <c r="A33" s="166">
        <v>44803</v>
      </c>
      <c r="B33" s="245"/>
      <c r="C33" s="246"/>
      <c r="D33" s="246"/>
      <c r="E33" s="247"/>
      <c r="F33" s="170">
        <f t="shared" si="3"/>
        <v>0</v>
      </c>
      <c r="G33" s="171">
        <f t="shared" si="4"/>
        <v>0</v>
      </c>
      <c r="H33" s="248"/>
      <c r="I33" s="248"/>
      <c r="J33" s="247"/>
      <c r="K33" s="249">
        <f t="shared" si="0"/>
        <v>0</v>
      </c>
      <c r="L33" s="250">
        <f t="shared" si="1"/>
        <v>0</v>
      </c>
      <c r="M33" s="251"/>
      <c r="N33" s="252"/>
      <c r="O33" s="253">
        <f t="shared" si="5"/>
        <v>268.89999999999998</v>
      </c>
      <c r="P33" s="254">
        <f>SUM(O33)</f>
        <v>268.89999999999998</v>
      </c>
      <c r="Q33" s="255"/>
      <c r="R33" s="246"/>
      <c r="S33" s="256"/>
      <c r="T33" s="257"/>
      <c r="U33" s="124"/>
      <c r="V33" s="124"/>
      <c r="W33" s="135"/>
      <c r="X33" s="182">
        <v>1</v>
      </c>
      <c r="Y33" s="200"/>
      <c r="Z33" s="201"/>
      <c r="AA33" s="182"/>
      <c r="AB33" s="182"/>
      <c r="AC33" s="258"/>
      <c r="AD33" s="210"/>
      <c r="AE33" s="108">
        <f t="shared" ref="AE33:AE62" si="7">SUM(AC33:AD33)</f>
        <v>0</v>
      </c>
      <c r="AF33" s="182"/>
      <c r="AG33" s="182"/>
      <c r="AH33" s="202"/>
      <c r="AI33" s="203"/>
      <c r="AJ33" s="108">
        <v>0</v>
      </c>
      <c r="AK33" s="163"/>
      <c r="AL33" s="258">
        <f t="shared" ref="AL33:AL63" si="8">AC33</f>
        <v>0</v>
      </c>
      <c r="AM33" s="305">
        <v>1</v>
      </c>
      <c r="AN33" s="16"/>
      <c r="AR33" s="92"/>
      <c r="AS33" s="11"/>
      <c r="AT33" s="11"/>
      <c r="AU33" s="11"/>
      <c r="AV33" s="2"/>
      <c r="AW33" s="2"/>
      <c r="AY33" s="2"/>
      <c r="AZ33" s="2"/>
      <c r="BA33" s="2"/>
      <c r="BB33" s="2"/>
    </row>
    <row r="34" spans="1:54" ht="19.5" thickBot="1" x14ac:dyDescent="0.35">
      <c r="A34" s="124"/>
      <c r="B34" s="259">
        <f>SUM(B5:B33)</f>
        <v>0</v>
      </c>
      <c r="C34" s="260">
        <f t="shared" ref="C34:N34" si="9">SUM(C3:C33)</f>
        <v>0</v>
      </c>
      <c r="D34" s="261">
        <f t="shared" si="9"/>
        <v>0</v>
      </c>
      <c r="E34" s="261">
        <f t="shared" si="9"/>
        <v>0</v>
      </c>
      <c r="F34" s="262">
        <f t="shared" si="9"/>
        <v>0</v>
      </c>
      <c r="G34" s="263"/>
      <c r="H34" s="263">
        <f>SUM(H3:H33)</f>
        <v>0</v>
      </c>
      <c r="I34" s="263"/>
      <c r="J34" s="263">
        <f t="shared" si="9"/>
        <v>0</v>
      </c>
      <c r="K34" s="264">
        <f t="shared" si="9"/>
        <v>0</v>
      </c>
      <c r="L34" s="265">
        <f t="shared" si="9"/>
        <v>0</v>
      </c>
      <c r="M34" s="266">
        <f t="shared" si="9"/>
        <v>0</v>
      </c>
      <c r="N34" s="267">
        <f t="shared" si="9"/>
        <v>0</v>
      </c>
      <c r="O34" s="135"/>
      <c r="P34" s="135"/>
      <c r="Q34" s="124"/>
      <c r="R34" s="135"/>
      <c r="S34" s="124"/>
      <c r="T34" s="124"/>
      <c r="U34" s="124"/>
      <c r="V34" s="124"/>
      <c r="W34" s="135"/>
      <c r="X34" s="182">
        <v>2</v>
      </c>
      <c r="Y34" s="217"/>
      <c r="Z34" s="201"/>
      <c r="AA34" s="182"/>
      <c r="AB34" s="182"/>
      <c r="AC34" s="258"/>
      <c r="AD34" s="210"/>
      <c r="AE34" s="108">
        <f t="shared" si="7"/>
        <v>0</v>
      </c>
      <c r="AF34" s="182"/>
      <c r="AG34" s="216"/>
      <c r="AH34" s="202"/>
      <c r="AI34" s="203"/>
      <c r="AJ34" s="108">
        <f>AE34</f>
        <v>0</v>
      </c>
      <c r="AK34" s="163"/>
      <c r="AL34" s="258">
        <f t="shared" si="8"/>
        <v>0</v>
      </c>
      <c r="AM34" s="221">
        <v>2</v>
      </c>
      <c r="AN34" s="16"/>
      <c r="AR34" s="2"/>
      <c r="AS34" s="11"/>
      <c r="AT34" s="11"/>
      <c r="AU34" s="11"/>
      <c r="AV34" s="2"/>
      <c r="AW34" s="2"/>
      <c r="AY34" s="2"/>
      <c r="AZ34" s="2"/>
      <c r="BA34" s="2"/>
      <c r="BB34" s="2"/>
    </row>
    <row r="35" spans="1:54" ht="19.5" thickBot="1" x14ac:dyDescent="0.35">
      <c r="A35" s="269" t="s">
        <v>15</v>
      </c>
      <c r="B35" s="270">
        <f>SUM(B3:B33)</f>
        <v>0</v>
      </c>
      <c r="C35" s="270">
        <f>SUM(C34/1.06)</f>
        <v>0</v>
      </c>
      <c r="D35" s="270">
        <f>SUM(D34/1.12)</f>
        <v>0</v>
      </c>
      <c r="E35" s="270">
        <f>SUM(E34/1.21)</f>
        <v>0</v>
      </c>
      <c r="F35" s="270">
        <f>SUM(B35:E35)</f>
        <v>0</v>
      </c>
      <c r="G35" s="271">
        <f>SUM(G34:G34)</f>
        <v>0</v>
      </c>
      <c r="H35" s="135"/>
      <c r="I35" s="135"/>
      <c r="J35" s="179"/>
      <c r="K35" s="272"/>
      <c r="L35" s="273" t="s">
        <v>82</v>
      </c>
      <c r="M35" s="274"/>
      <c r="N35" s="275">
        <f>SUM(M34:N34)</f>
        <v>0</v>
      </c>
      <c r="O35" s="135"/>
      <c r="P35" s="135"/>
      <c r="Q35" s="124"/>
      <c r="R35" s="135"/>
      <c r="S35" s="124"/>
      <c r="T35" s="124"/>
      <c r="U35" s="124"/>
      <c r="V35" s="124"/>
      <c r="W35" s="135"/>
      <c r="X35" s="182">
        <v>3</v>
      </c>
      <c r="Y35" s="200"/>
      <c r="Z35" s="201"/>
      <c r="AA35" s="182"/>
      <c r="AB35" s="182"/>
      <c r="AC35" s="258"/>
      <c r="AD35" s="210"/>
      <c r="AE35" s="108">
        <f t="shared" si="7"/>
        <v>0</v>
      </c>
      <c r="AF35" s="182"/>
      <c r="AG35" s="182"/>
      <c r="AH35" s="202"/>
      <c r="AI35" s="203"/>
      <c r="AJ35" s="108">
        <f>AE35</f>
        <v>0</v>
      </c>
      <c r="AK35" s="163"/>
      <c r="AL35" s="258">
        <f t="shared" si="8"/>
        <v>0</v>
      </c>
      <c r="AM35" s="221">
        <v>3</v>
      </c>
      <c r="AN35" s="16"/>
      <c r="AR35" s="2"/>
      <c r="AS35" s="11"/>
      <c r="AT35" s="11"/>
      <c r="AU35" s="11"/>
      <c r="AV35" s="12"/>
      <c r="AW35" s="2"/>
      <c r="AY35" s="2"/>
      <c r="AZ35" s="2"/>
      <c r="BA35" s="2"/>
      <c r="BB35" s="2"/>
    </row>
    <row r="36" spans="1:54" ht="18.75" x14ac:dyDescent="0.3">
      <c r="A36" s="269" t="s">
        <v>16</v>
      </c>
      <c r="B36" s="276"/>
      <c r="C36" s="270">
        <f>SUM(C34-C35)</f>
        <v>0</v>
      </c>
      <c r="D36" s="270">
        <f>SUM(D34-D35)</f>
        <v>0</v>
      </c>
      <c r="E36" s="270">
        <f>SUM(E34-E35)</f>
        <v>0</v>
      </c>
      <c r="F36" s="270">
        <f>SUM(C36:E36)</f>
        <v>0</v>
      </c>
      <c r="G36" s="135"/>
      <c r="H36" s="135"/>
      <c r="I36" s="135"/>
      <c r="J36" s="135"/>
      <c r="K36" s="135"/>
      <c r="L36" s="135"/>
      <c r="M36" s="135"/>
      <c r="N36" s="135"/>
      <c r="O36" s="135"/>
      <c r="P36" s="135"/>
      <c r="Q36" s="124"/>
      <c r="R36" s="135"/>
      <c r="S36" s="124"/>
      <c r="T36" s="124"/>
      <c r="U36" s="124"/>
      <c r="V36" s="124"/>
      <c r="W36" s="135"/>
      <c r="X36" s="182">
        <v>4</v>
      </c>
      <c r="Y36" s="200"/>
      <c r="Z36" s="201"/>
      <c r="AA36" s="182"/>
      <c r="AB36" s="182"/>
      <c r="AC36" s="277"/>
      <c r="AD36" s="108"/>
      <c r="AE36" s="108">
        <f t="shared" si="7"/>
        <v>0</v>
      </c>
      <c r="AF36" s="182"/>
      <c r="AG36" s="182"/>
      <c r="AH36" s="202"/>
      <c r="AI36" s="203"/>
      <c r="AJ36" s="108">
        <v>0</v>
      </c>
      <c r="AK36" s="306"/>
      <c r="AL36" s="258">
        <f t="shared" si="8"/>
        <v>0</v>
      </c>
      <c r="AM36" s="221">
        <v>4</v>
      </c>
      <c r="AN36" s="16"/>
      <c r="AR36" s="12"/>
      <c r="AS36" s="11"/>
      <c r="AT36" s="11"/>
      <c r="AU36" s="11"/>
      <c r="AV36" s="12"/>
      <c r="AW36" s="2"/>
      <c r="AY36" s="2"/>
      <c r="AZ36" s="2"/>
      <c r="BA36" s="2"/>
      <c r="BB36" s="2"/>
    </row>
    <row r="37" spans="1:54" ht="18.75" x14ac:dyDescent="0.3">
      <c r="A37" s="124"/>
      <c r="B37" s="124"/>
      <c r="C37" s="124"/>
      <c r="D37" s="124"/>
      <c r="E37" s="124"/>
      <c r="F37" s="124"/>
      <c r="G37" s="124"/>
      <c r="H37" s="124"/>
      <c r="I37" s="124"/>
      <c r="J37" s="124"/>
      <c r="K37" s="124"/>
      <c r="L37" s="124"/>
      <c r="M37" s="124"/>
      <c r="N37" s="124"/>
      <c r="O37" s="124"/>
      <c r="P37" s="124"/>
      <c r="Q37" s="159"/>
      <c r="R37" s="135"/>
      <c r="S37" s="124"/>
      <c r="T37" s="124"/>
      <c r="U37" s="124"/>
      <c r="V37" s="124"/>
      <c r="W37" s="135"/>
      <c r="X37" s="182">
        <v>5</v>
      </c>
      <c r="Y37" s="217"/>
      <c r="Z37" s="201"/>
      <c r="AA37" s="182"/>
      <c r="AB37" s="221"/>
      <c r="AC37" s="258"/>
      <c r="AD37" s="210"/>
      <c r="AE37" s="108">
        <f t="shared" si="7"/>
        <v>0</v>
      </c>
      <c r="AF37" s="182"/>
      <c r="AG37" s="216"/>
      <c r="AH37" s="202"/>
      <c r="AI37" s="203"/>
      <c r="AJ37" s="108">
        <f>AE37</f>
        <v>0</v>
      </c>
      <c r="AK37" s="301"/>
      <c r="AL37" s="258">
        <f t="shared" si="8"/>
        <v>0</v>
      </c>
      <c r="AM37" s="221">
        <v>5</v>
      </c>
      <c r="AN37" s="22"/>
      <c r="AR37" s="12"/>
      <c r="AS37" s="11"/>
      <c r="AT37" s="11"/>
      <c r="AU37" s="11"/>
      <c r="AV37" s="12"/>
      <c r="AW37" s="2"/>
    </row>
    <row r="38" spans="1:54" ht="18.75" x14ac:dyDescent="0.3">
      <c r="A38" s="124"/>
      <c r="B38" s="124"/>
      <c r="C38" s="124"/>
      <c r="D38" s="124"/>
      <c r="E38" s="124"/>
      <c r="F38" s="124"/>
      <c r="G38" s="124"/>
      <c r="H38" s="124"/>
      <c r="I38" s="124"/>
      <c r="J38" s="124"/>
      <c r="K38" s="124"/>
      <c r="L38" s="124"/>
      <c r="M38" s="124"/>
      <c r="N38" s="124"/>
      <c r="O38" s="124"/>
      <c r="P38" s="124"/>
      <c r="Q38" s="124"/>
      <c r="R38" s="135"/>
      <c r="S38" s="124"/>
      <c r="T38" s="124"/>
      <c r="U38" s="124"/>
      <c r="V38" s="124"/>
      <c r="W38" s="135"/>
      <c r="X38" s="182">
        <v>6</v>
      </c>
      <c r="Y38" s="200"/>
      <c r="Z38" s="201"/>
      <c r="AA38" s="182"/>
      <c r="AB38" s="182"/>
      <c r="AC38" s="277"/>
      <c r="AD38" s="108"/>
      <c r="AE38" s="108">
        <f t="shared" si="7"/>
        <v>0</v>
      </c>
      <c r="AF38" s="182"/>
      <c r="AG38" s="216"/>
      <c r="AH38" s="202"/>
      <c r="AI38" s="203"/>
      <c r="AJ38" s="108">
        <v>0</v>
      </c>
      <c r="AK38" s="301"/>
      <c r="AL38" s="258">
        <f t="shared" si="8"/>
        <v>0</v>
      </c>
      <c r="AM38" s="221">
        <v>6</v>
      </c>
      <c r="AN38" s="16"/>
      <c r="AR38" s="2"/>
      <c r="AS38" s="11"/>
      <c r="AT38" s="11"/>
      <c r="AU38" s="11"/>
      <c r="AV38" s="12"/>
      <c r="AW38" s="2"/>
      <c r="BA38" s="7"/>
    </row>
    <row r="39" spans="1:54" ht="18.75" x14ac:dyDescent="0.3">
      <c r="A39" s="124"/>
      <c r="B39" s="124"/>
      <c r="C39" s="124"/>
      <c r="D39" s="124"/>
      <c r="E39" s="124"/>
      <c r="F39" s="124"/>
      <c r="G39" s="124"/>
      <c r="H39" s="124"/>
      <c r="I39" s="124"/>
      <c r="J39" s="124"/>
      <c r="K39" s="124"/>
      <c r="L39" s="124"/>
      <c r="M39" s="124"/>
      <c r="N39" s="124"/>
      <c r="O39" s="124"/>
      <c r="P39" s="124"/>
      <c r="Q39" s="124"/>
      <c r="R39" s="135"/>
      <c r="S39" s="124"/>
      <c r="T39" s="124"/>
      <c r="U39" s="124"/>
      <c r="V39" s="124"/>
      <c r="W39" s="135"/>
      <c r="X39" s="182">
        <v>7</v>
      </c>
      <c r="Y39" s="200"/>
      <c r="Z39" s="201"/>
      <c r="AA39" s="182"/>
      <c r="AB39" s="182"/>
      <c r="AC39" s="277"/>
      <c r="AD39" s="108"/>
      <c r="AE39" s="108">
        <f t="shared" si="7"/>
        <v>0</v>
      </c>
      <c r="AF39" s="182"/>
      <c r="AG39" s="182"/>
      <c r="AH39" s="202"/>
      <c r="AI39" s="203"/>
      <c r="AJ39" s="108">
        <f t="shared" ref="AJ39:AJ62" si="10">AE39</f>
        <v>0</v>
      </c>
      <c r="AK39" s="301"/>
      <c r="AL39" s="258">
        <f t="shared" si="8"/>
        <v>0</v>
      </c>
      <c r="AM39" s="221">
        <v>7</v>
      </c>
      <c r="AN39" s="16"/>
      <c r="AR39" s="2"/>
      <c r="AS39" s="11"/>
      <c r="AT39" s="11"/>
      <c r="AU39" s="11"/>
      <c r="AV39" s="12"/>
      <c r="AW39" s="2"/>
      <c r="BA39" s="7"/>
    </row>
    <row r="40" spans="1:54" ht="18.75" x14ac:dyDescent="0.3">
      <c r="A40" s="124"/>
      <c r="B40" s="124"/>
      <c r="C40" s="124"/>
      <c r="D40" s="124"/>
      <c r="E40" s="124"/>
      <c r="F40" s="124"/>
      <c r="G40" s="124"/>
      <c r="H40" s="124"/>
      <c r="I40" s="124"/>
      <c r="J40" s="124"/>
      <c r="K40" s="124"/>
      <c r="L40" s="124"/>
      <c r="M40" s="124"/>
      <c r="N40" s="324"/>
      <c r="O40" s="324"/>
      <c r="P40" s="124"/>
      <c r="Q40" s="124"/>
      <c r="R40" s="135"/>
      <c r="S40" s="124"/>
      <c r="T40" s="124"/>
      <c r="U40" s="124"/>
      <c r="V40" s="124"/>
      <c r="W40" s="135"/>
      <c r="X40" s="182">
        <v>8</v>
      </c>
      <c r="Y40" s="200"/>
      <c r="Z40" s="201"/>
      <c r="AA40" s="182"/>
      <c r="AB40" s="182"/>
      <c r="AC40" s="258"/>
      <c r="AD40" s="210"/>
      <c r="AE40" s="108">
        <f t="shared" si="7"/>
        <v>0</v>
      </c>
      <c r="AF40" s="182"/>
      <c r="AG40" s="182"/>
      <c r="AH40" s="202"/>
      <c r="AI40" s="203"/>
      <c r="AJ40" s="108">
        <f t="shared" si="10"/>
        <v>0</v>
      </c>
      <c r="AK40" s="301"/>
      <c r="AL40" s="258">
        <f t="shared" si="8"/>
        <v>0</v>
      </c>
      <c r="AM40" s="221">
        <v>8</v>
      </c>
      <c r="AN40" s="16"/>
      <c r="AR40" s="2"/>
      <c r="AS40" s="11"/>
      <c r="AT40" s="11"/>
      <c r="AU40" s="11"/>
      <c r="AV40" s="12"/>
      <c r="AW40" s="2"/>
    </row>
    <row r="41" spans="1:54" ht="18.75" x14ac:dyDescent="0.3">
      <c r="A41" s="124"/>
      <c r="B41" s="124"/>
      <c r="C41" s="124"/>
      <c r="D41" s="124"/>
      <c r="E41" s="124"/>
      <c r="F41" s="124"/>
      <c r="G41" s="124"/>
      <c r="H41" s="124"/>
      <c r="I41" s="124"/>
      <c r="J41" s="124"/>
      <c r="K41" s="124"/>
      <c r="L41" s="124"/>
      <c r="M41" s="124"/>
      <c r="N41" s="324"/>
      <c r="O41" s="324"/>
      <c r="P41" s="124"/>
      <c r="Q41" s="124"/>
      <c r="R41" s="135"/>
      <c r="S41" s="124"/>
      <c r="T41" s="124"/>
      <c r="U41" s="124"/>
      <c r="V41" s="124"/>
      <c r="W41" s="135"/>
      <c r="X41" s="182">
        <v>9</v>
      </c>
      <c r="Y41" s="200"/>
      <c r="Z41" s="201"/>
      <c r="AA41" s="182"/>
      <c r="AB41" s="182"/>
      <c r="AC41" s="277"/>
      <c r="AD41" s="108"/>
      <c r="AE41" s="108">
        <f t="shared" si="7"/>
        <v>0</v>
      </c>
      <c r="AF41" s="182"/>
      <c r="AG41" s="182"/>
      <c r="AH41" s="202"/>
      <c r="AI41" s="203"/>
      <c r="AJ41" s="108">
        <f t="shared" si="10"/>
        <v>0</v>
      </c>
      <c r="AK41" s="301"/>
      <c r="AL41" s="258">
        <f t="shared" si="8"/>
        <v>0</v>
      </c>
      <c r="AM41" s="221">
        <v>9</v>
      </c>
      <c r="AN41" s="16"/>
      <c r="AR41" s="2"/>
      <c r="AS41" s="11"/>
      <c r="AT41" s="11"/>
      <c r="AU41" s="11"/>
      <c r="AV41" s="12"/>
      <c r="AW41" s="2"/>
    </row>
    <row r="42" spans="1:54" ht="18.75" x14ac:dyDescent="0.3">
      <c r="A42" s="124"/>
      <c r="B42" s="124"/>
      <c r="C42" s="124"/>
      <c r="D42" s="124"/>
      <c r="E42" s="124"/>
      <c r="F42" s="124"/>
      <c r="G42" s="124"/>
      <c r="H42" s="124"/>
      <c r="I42" s="124" t="s">
        <v>14</v>
      </c>
      <c r="J42" s="124"/>
      <c r="K42" s="124"/>
      <c r="L42" s="124"/>
      <c r="M42" s="124"/>
      <c r="N42" s="324"/>
      <c r="O42" s="324"/>
      <c r="P42" s="124"/>
      <c r="Q42" s="124"/>
      <c r="R42" s="135"/>
      <c r="S42" s="124"/>
      <c r="T42" s="124"/>
      <c r="U42" s="124"/>
      <c r="V42" s="124"/>
      <c r="W42" s="135"/>
      <c r="X42" s="182">
        <v>10</v>
      </c>
      <c r="Y42" s="200"/>
      <c r="Z42" s="201"/>
      <c r="AA42" s="182"/>
      <c r="AB42" s="182"/>
      <c r="AC42" s="258"/>
      <c r="AD42" s="210"/>
      <c r="AE42" s="108">
        <f t="shared" si="7"/>
        <v>0</v>
      </c>
      <c r="AF42" s="182"/>
      <c r="AG42" s="182"/>
      <c r="AH42" s="202"/>
      <c r="AI42" s="203"/>
      <c r="AJ42" s="108">
        <f t="shared" si="10"/>
        <v>0</v>
      </c>
      <c r="AK42" s="163"/>
      <c r="AL42" s="258">
        <f t="shared" si="8"/>
        <v>0</v>
      </c>
      <c r="AM42" s="221">
        <v>10</v>
      </c>
      <c r="AN42" s="16"/>
      <c r="AR42" s="2"/>
      <c r="AS42" s="11"/>
      <c r="AT42" s="11"/>
      <c r="AU42" s="11"/>
      <c r="AV42" s="2"/>
      <c r="AW42" s="2"/>
    </row>
    <row r="43" spans="1:54" ht="15.75" x14ac:dyDescent="0.25">
      <c r="A43" s="124"/>
      <c r="B43" s="124"/>
      <c r="C43" s="279"/>
      <c r="D43" s="279"/>
      <c r="E43" s="124"/>
      <c r="F43" s="124"/>
      <c r="G43" s="124"/>
      <c r="H43" s="124"/>
      <c r="I43" s="124"/>
      <c r="J43" s="124"/>
      <c r="K43" s="124"/>
      <c r="L43" s="124"/>
      <c r="M43" s="124"/>
      <c r="N43" s="324"/>
      <c r="O43" s="325"/>
      <c r="P43" s="124"/>
      <c r="Q43" s="124"/>
      <c r="R43" s="135"/>
      <c r="S43" s="124"/>
      <c r="T43" s="124"/>
      <c r="U43" s="124"/>
      <c r="V43" s="124"/>
      <c r="W43" s="135"/>
      <c r="X43" s="182">
        <v>11</v>
      </c>
      <c r="Y43" s="200"/>
      <c r="Z43" s="201"/>
      <c r="AA43" s="182"/>
      <c r="AB43" s="182"/>
      <c r="AC43" s="258"/>
      <c r="AD43" s="210"/>
      <c r="AE43" s="108">
        <f t="shared" si="7"/>
        <v>0</v>
      </c>
      <c r="AF43" s="182"/>
      <c r="AG43" s="182"/>
      <c r="AH43" s="202"/>
      <c r="AI43" s="203"/>
      <c r="AJ43" s="108">
        <f t="shared" si="10"/>
        <v>0</v>
      </c>
      <c r="AK43" s="23"/>
      <c r="AL43" s="258">
        <f t="shared" si="8"/>
        <v>0</v>
      </c>
      <c r="AM43" s="221">
        <v>11</v>
      </c>
      <c r="AN43" s="38"/>
      <c r="AR43" s="2"/>
      <c r="AS43" s="11"/>
      <c r="AT43" s="11"/>
      <c r="AU43" s="11"/>
      <c r="AV43" s="2"/>
    </row>
    <row r="44" spans="1:54" ht="15.75" x14ac:dyDescent="0.25">
      <c r="A44" s="124"/>
      <c r="B44" s="124"/>
      <c r="C44" s="124"/>
      <c r="D44" s="124"/>
      <c r="E44" s="124"/>
      <c r="F44" s="124"/>
      <c r="G44" s="124"/>
      <c r="H44" s="124"/>
      <c r="I44" s="124"/>
      <c r="J44" s="135"/>
      <c r="K44" s="124"/>
      <c r="L44" s="124"/>
      <c r="M44" s="124"/>
      <c r="N44" s="324"/>
      <c r="O44" s="324"/>
      <c r="P44" s="124"/>
      <c r="Q44" s="124"/>
      <c r="R44" s="135"/>
      <c r="S44" s="124"/>
      <c r="T44" s="124"/>
      <c r="U44" s="124"/>
      <c r="V44" s="124"/>
      <c r="W44" s="135"/>
      <c r="X44" s="182">
        <v>12</v>
      </c>
      <c r="Y44" s="200"/>
      <c r="Z44" s="201"/>
      <c r="AA44" s="221"/>
      <c r="AB44" s="182"/>
      <c r="AC44" s="258"/>
      <c r="AD44" s="210"/>
      <c r="AE44" s="108">
        <f t="shared" si="7"/>
        <v>0</v>
      </c>
      <c r="AF44" s="182"/>
      <c r="AG44" s="182"/>
      <c r="AH44" s="202"/>
      <c r="AI44" s="203"/>
      <c r="AJ44" s="108">
        <f t="shared" si="10"/>
        <v>0</v>
      </c>
      <c r="AK44" s="25"/>
      <c r="AL44" s="258">
        <f t="shared" si="8"/>
        <v>0</v>
      </c>
      <c r="AM44" s="221">
        <v>12</v>
      </c>
      <c r="AN44" s="28"/>
      <c r="AR44" s="2"/>
      <c r="AS44" s="11"/>
      <c r="AT44" s="11"/>
      <c r="AU44" s="11"/>
      <c r="AV44" s="2"/>
    </row>
    <row r="45" spans="1:54" ht="15.75" x14ac:dyDescent="0.25">
      <c r="A45" s="135"/>
      <c r="B45" s="135"/>
      <c r="C45" s="135"/>
      <c r="D45" s="135"/>
      <c r="E45" s="135"/>
      <c r="F45" s="135"/>
      <c r="G45" s="135"/>
      <c r="H45" s="135"/>
      <c r="I45" s="135"/>
      <c r="J45" s="135"/>
      <c r="K45" s="135"/>
      <c r="L45" s="135"/>
      <c r="M45" s="135"/>
      <c r="N45" s="326"/>
      <c r="O45" s="327"/>
      <c r="P45" s="135"/>
      <c r="Q45" s="124"/>
      <c r="R45" s="135"/>
      <c r="S45" s="124"/>
      <c r="T45" s="124"/>
      <c r="U45" s="124"/>
      <c r="V45" s="124"/>
      <c r="W45" s="135"/>
      <c r="X45" s="182">
        <v>13</v>
      </c>
      <c r="Y45" s="200"/>
      <c r="Z45" s="201"/>
      <c r="AA45" s="182"/>
      <c r="AB45" s="182"/>
      <c r="AC45" s="258"/>
      <c r="AD45" s="210"/>
      <c r="AE45" s="108">
        <f t="shared" si="7"/>
        <v>0</v>
      </c>
      <c r="AF45" s="182"/>
      <c r="AG45" s="208"/>
      <c r="AH45" s="202"/>
      <c r="AI45" s="203"/>
      <c r="AJ45" s="108">
        <f t="shared" si="10"/>
        <v>0</v>
      </c>
      <c r="AK45" s="25"/>
      <c r="AL45" s="258">
        <f t="shared" si="8"/>
        <v>0</v>
      </c>
      <c r="AM45" s="221">
        <v>13</v>
      </c>
      <c r="AN45" s="32"/>
      <c r="AR45" s="2"/>
      <c r="AS45" s="11"/>
      <c r="AT45" s="11"/>
      <c r="AU45" s="11"/>
      <c r="AV45" s="2"/>
    </row>
    <row r="46" spans="1:54" ht="18.75" x14ac:dyDescent="0.3">
      <c r="A46" s="135"/>
      <c r="B46" s="135"/>
      <c r="C46" s="135"/>
      <c r="D46" s="135"/>
      <c r="E46" s="135"/>
      <c r="F46" s="135"/>
      <c r="G46" s="135"/>
      <c r="H46" s="135"/>
      <c r="I46" s="135"/>
      <c r="J46" s="124"/>
      <c r="K46" s="135"/>
      <c r="L46" s="135"/>
      <c r="M46" s="135"/>
      <c r="N46" s="135"/>
      <c r="O46" s="135"/>
      <c r="P46" s="135" t="s">
        <v>14</v>
      </c>
      <c r="Q46" s="124"/>
      <c r="R46" s="135"/>
      <c r="S46" s="124"/>
      <c r="T46" s="124"/>
      <c r="U46" s="124"/>
      <c r="V46" s="124"/>
      <c r="W46" s="135"/>
      <c r="X46" s="182">
        <v>14</v>
      </c>
      <c r="Y46" s="200"/>
      <c r="Z46" s="201"/>
      <c r="AA46" s="182"/>
      <c r="AB46" s="182"/>
      <c r="AC46" s="258"/>
      <c r="AD46" s="210"/>
      <c r="AE46" s="108">
        <f t="shared" si="7"/>
        <v>0</v>
      </c>
      <c r="AF46" s="182"/>
      <c r="AG46" s="226"/>
      <c r="AH46" s="202"/>
      <c r="AI46" s="203"/>
      <c r="AJ46" s="108">
        <f t="shared" si="10"/>
        <v>0</v>
      </c>
      <c r="AK46" s="163"/>
      <c r="AL46" s="258">
        <f t="shared" si="8"/>
        <v>0</v>
      </c>
      <c r="AM46" s="221">
        <v>14</v>
      </c>
      <c r="AN46" s="34"/>
      <c r="AR46" s="2"/>
      <c r="AS46" s="11"/>
      <c r="AT46" s="11"/>
      <c r="AU46" s="11"/>
      <c r="AV46" s="2"/>
    </row>
    <row r="47" spans="1:54" ht="15.75" x14ac:dyDescent="0.25">
      <c r="A47" s="280"/>
      <c r="B47" s="135"/>
      <c r="C47" s="135"/>
      <c r="D47" s="135"/>
      <c r="E47" s="135"/>
      <c r="F47" s="281"/>
      <c r="G47" s="135"/>
      <c r="H47" s="135"/>
      <c r="I47" s="135"/>
      <c r="J47" s="135"/>
      <c r="K47" s="135"/>
      <c r="L47" s="135"/>
      <c r="M47" s="135"/>
      <c r="N47" s="135"/>
      <c r="O47" s="135"/>
      <c r="P47" s="135"/>
      <c r="Q47" s="124"/>
      <c r="R47" s="135"/>
      <c r="S47" s="124"/>
      <c r="T47" s="124"/>
      <c r="U47" s="124"/>
      <c r="V47" s="124"/>
      <c r="W47" s="135"/>
      <c r="X47" s="182">
        <v>15</v>
      </c>
      <c r="Y47" s="200"/>
      <c r="Z47" s="201"/>
      <c r="AA47" s="182"/>
      <c r="AB47" s="228"/>
      <c r="AC47" s="258"/>
      <c r="AD47" s="210"/>
      <c r="AE47" s="108">
        <f t="shared" si="7"/>
        <v>0</v>
      </c>
      <c r="AF47" s="182"/>
      <c r="AG47" s="182"/>
      <c r="AH47" s="202"/>
      <c r="AI47" s="203"/>
      <c r="AJ47" s="108">
        <f t="shared" si="10"/>
        <v>0</v>
      </c>
      <c r="AK47" s="23"/>
      <c r="AL47" s="258">
        <f t="shared" si="8"/>
        <v>0</v>
      </c>
      <c r="AM47" s="221">
        <v>15</v>
      </c>
      <c r="AN47" s="24"/>
      <c r="BA47" s="7"/>
    </row>
    <row r="48" spans="1:54" ht="15.75" x14ac:dyDescent="0.25">
      <c r="A48" s="280"/>
      <c r="B48" s="135"/>
      <c r="C48" s="135"/>
      <c r="D48" s="135"/>
      <c r="E48" s="135"/>
      <c r="F48" s="135"/>
      <c r="G48" s="135"/>
      <c r="H48" s="135"/>
      <c r="I48" s="135"/>
      <c r="J48" s="135"/>
      <c r="K48" s="135"/>
      <c r="L48" s="135"/>
      <c r="M48" s="135"/>
      <c r="N48" s="135"/>
      <c r="O48" s="135"/>
      <c r="P48" s="135"/>
      <c r="Q48" s="124"/>
      <c r="R48" s="135"/>
      <c r="S48" s="124"/>
      <c r="T48" s="124"/>
      <c r="U48" s="124"/>
      <c r="V48" s="124"/>
      <c r="W48" s="135"/>
      <c r="X48" s="182">
        <v>16</v>
      </c>
      <c r="Y48" s="200"/>
      <c r="Z48" s="201"/>
      <c r="AA48" s="182"/>
      <c r="AB48" s="182"/>
      <c r="AC48" s="258"/>
      <c r="AD48" s="210"/>
      <c r="AE48" s="108">
        <f t="shared" si="7"/>
        <v>0</v>
      </c>
      <c r="AF48" s="182"/>
      <c r="AG48" s="182"/>
      <c r="AH48" s="202"/>
      <c r="AI48" s="203"/>
      <c r="AJ48" s="108">
        <f t="shared" si="10"/>
        <v>0</v>
      </c>
      <c r="AK48" s="23"/>
      <c r="AL48" s="258">
        <f t="shared" si="8"/>
        <v>0</v>
      </c>
      <c r="AM48" s="221">
        <v>16</v>
      </c>
      <c r="AN48" s="24"/>
      <c r="AY48" s="7"/>
      <c r="BA48" s="7"/>
    </row>
    <row r="49" spans="1:54" ht="18.75" x14ac:dyDescent="0.3">
      <c r="A49" s="280"/>
      <c r="B49" s="135"/>
      <c r="C49" s="135"/>
      <c r="D49" s="135"/>
      <c r="E49" s="135"/>
      <c r="F49" s="281"/>
      <c r="G49" s="135"/>
      <c r="H49" s="135"/>
      <c r="I49" s="135"/>
      <c r="J49" s="135"/>
      <c r="K49" s="135"/>
      <c r="L49" s="135"/>
      <c r="M49" s="135"/>
      <c r="N49" s="135"/>
      <c r="O49" s="135"/>
      <c r="P49" s="135"/>
      <c r="Q49" s="124"/>
      <c r="R49" s="135"/>
      <c r="S49" s="124"/>
      <c r="T49" s="124"/>
      <c r="U49" s="124"/>
      <c r="V49" s="124"/>
      <c r="W49" s="135"/>
      <c r="X49" s="182">
        <v>17</v>
      </c>
      <c r="Y49" s="223"/>
      <c r="Z49" s="224"/>
      <c r="AA49" s="208"/>
      <c r="AB49" s="208"/>
      <c r="AC49" s="277"/>
      <c r="AD49" s="108"/>
      <c r="AE49" s="108">
        <f t="shared" si="7"/>
        <v>0</v>
      </c>
      <c r="AF49" s="208"/>
      <c r="AG49" s="208"/>
      <c r="AH49" s="202"/>
      <c r="AI49" s="203"/>
      <c r="AJ49" s="108">
        <f t="shared" si="10"/>
        <v>0</v>
      </c>
      <c r="AK49" s="163"/>
      <c r="AL49" s="258">
        <f t="shared" si="8"/>
        <v>0</v>
      </c>
      <c r="AM49" s="221">
        <v>17</v>
      </c>
      <c r="AN49" s="22"/>
      <c r="AY49" s="7"/>
      <c r="BA49" s="7"/>
    </row>
    <row r="50" spans="1:54" ht="18.75" x14ac:dyDescent="0.3">
      <c r="A50" s="280"/>
      <c r="B50" s="135"/>
      <c r="C50" s="135"/>
      <c r="D50" s="135"/>
      <c r="E50" s="135"/>
      <c r="F50" s="281"/>
      <c r="G50" s="135"/>
      <c r="H50" s="135"/>
      <c r="I50" s="135"/>
      <c r="J50" s="135"/>
      <c r="K50" s="135"/>
      <c r="L50" s="135"/>
      <c r="M50" s="135"/>
      <c r="N50" s="135"/>
      <c r="O50" s="135"/>
      <c r="P50" s="135"/>
      <c r="Q50" s="124"/>
      <c r="R50" s="135"/>
      <c r="S50" s="124"/>
      <c r="T50" s="124"/>
      <c r="U50" s="124"/>
      <c r="V50" s="124"/>
      <c r="W50" s="135"/>
      <c r="X50" s="182">
        <v>18</v>
      </c>
      <c r="Y50" s="200"/>
      <c r="Z50" s="201"/>
      <c r="AA50" s="182"/>
      <c r="AB50" s="182"/>
      <c r="AC50" s="277"/>
      <c r="AD50" s="108"/>
      <c r="AE50" s="108">
        <f t="shared" si="7"/>
        <v>0</v>
      </c>
      <c r="AF50" s="182"/>
      <c r="AG50" s="216"/>
      <c r="AH50" s="202"/>
      <c r="AI50" s="203"/>
      <c r="AJ50" s="108">
        <f t="shared" si="10"/>
        <v>0</v>
      </c>
      <c r="AK50" s="163"/>
      <c r="AL50" s="258">
        <f t="shared" si="8"/>
        <v>0</v>
      </c>
      <c r="AM50" s="221">
        <v>18</v>
      </c>
      <c r="AN50" s="22"/>
      <c r="AY50" s="2"/>
    </row>
    <row r="51" spans="1:54" ht="18.75" x14ac:dyDescent="0.3">
      <c r="A51" s="280"/>
      <c r="B51" s="135"/>
      <c r="C51" s="135"/>
      <c r="D51" s="135"/>
      <c r="E51" s="135"/>
      <c r="F51" s="281"/>
      <c r="G51" s="135"/>
      <c r="H51" s="135"/>
      <c r="I51" s="135"/>
      <c r="J51" s="135"/>
      <c r="K51" s="135"/>
      <c r="L51" s="135"/>
      <c r="M51" s="135"/>
      <c r="N51" s="135"/>
      <c r="O51" s="135"/>
      <c r="P51" s="135"/>
      <c r="Q51" s="124"/>
      <c r="R51" s="135"/>
      <c r="S51" s="124"/>
      <c r="T51" s="124"/>
      <c r="U51" s="124"/>
      <c r="V51" s="124"/>
      <c r="W51" s="135"/>
      <c r="X51" s="182">
        <v>19</v>
      </c>
      <c r="Y51" s="200"/>
      <c r="Z51" s="201"/>
      <c r="AA51" s="182"/>
      <c r="AB51" s="221"/>
      <c r="AC51" s="277"/>
      <c r="AD51" s="108"/>
      <c r="AE51" s="108">
        <f t="shared" si="7"/>
        <v>0</v>
      </c>
      <c r="AF51" s="182"/>
      <c r="AG51" s="182"/>
      <c r="AH51" s="202"/>
      <c r="AI51" s="203"/>
      <c r="AJ51" s="108">
        <f t="shared" si="10"/>
        <v>0</v>
      </c>
      <c r="AK51" s="163"/>
      <c r="AL51" s="258">
        <f t="shared" si="8"/>
        <v>0</v>
      </c>
      <c r="AM51" s="221">
        <v>19</v>
      </c>
      <c r="AN51" s="22"/>
      <c r="AR51" s="2"/>
      <c r="AS51" s="2"/>
      <c r="AT51" s="2"/>
      <c r="AU51" s="2"/>
      <c r="AV51" s="2"/>
      <c r="AY51" s="2"/>
      <c r="AZ51" s="2"/>
      <c r="BA51" s="2"/>
      <c r="BB51" s="2"/>
    </row>
    <row r="52" spans="1:54" ht="18.75" x14ac:dyDescent="0.3">
      <c r="A52" s="280"/>
      <c r="B52" s="135"/>
      <c r="C52" s="135"/>
      <c r="D52" s="135"/>
      <c r="E52" s="135"/>
      <c r="F52" s="135"/>
      <c r="G52" s="135"/>
      <c r="H52" s="135"/>
      <c r="I52" s="135"/>
      <c r="J52" s="135"/>
      <c r="K52" s="135"/>
      <c r="L52" s="135"/>
      <c r="M52" s="135"/>
      <c r="N52" s="135"/>
      <c r="O52" s="135"/>
      <c r="P52" s="135"/>
      <c r="Q52" s="124"/>
      <c r="R52" s="135"/>
      <c r="S52" s="124"/>
      <c r="T52" s="124"/>
      <c r="U52" s="124"/>
      <c r="V52" s="124"/>
      <c r="W52" s="135"/>
      <c r="X52" s="182">
        <v>20</v>
      </c>
      <c r="Y52" s="200"/>
      <c r="Z52" s="201"/>
      <c r="AA52" s="182"/>
      <c r="AB52" s="182"/>
      <c r="AC52" s="277"/>
      <c r="AD52" s="108"/>
      <c r="AE52" s="108">
        <f t="shared" si="7"/>
        <v>0</v>
      </c>
      <c r="AF52" s="182"/>
      <c r="AG52" s="182"/>
      <c r="AH52" s="202"/>
      <c r="AI52" s="203"/>
      <c r="AJ52" s="108">
        <f t="shared" si="10"/>
        <v>0</v>
      </c>
      <c r="AK52" s="163"/>
      <c r="AL52" s="258">
        <f t="shared" si="8"/>
        <v>0</v>
      </c>
      <c r="AM52" s="221">
        <v>20</v>
      </c>
      <c r="AN52" s="22"/>
      <c r="AR52" s="92"/>
      <c r="AS52" s="11"/>
      <c r="AT52" s="11"/>
      <c r="AU52" s="2"/>
      <c r="AV52" s="2"/>
      <c r="AY52" s="2"/>
      <c r="AZ52" s="2"/>
      <c r="BA52" s="12"/>
      <c r="BB52" s="2"/>
    </row>
    <row r="53" spans="1:54" ht="18.75" x14ac:dyDescent="0.3">
      <c r="A53" s="280"/>
      <c r="B53" s="135"/>
      <c r="C53" s="135"/>
      <c r="D53" s="135"/>
      <c r="E53" s="135"/>
      <c r="F53" s="135"/>
      <c r="G53" s="135"/>
      <c r="H53" s="135"/>
      <c r="I53" s="135"/>
      <c r="J53" s="135"/>
      <c r="K53" s="135"/>
      <c r="L53" s="135"/>
      <c r="M53" s="135"/>
      <c r="N53" s="135"/>
      <c r="O53" s="135"/>
      <c r="P53" s="135"/>
      <c r="Q53" s="124"/>
      <c r="R53" s="135"/>
      <c r="S53" s="124"/>
      <c r="T53" s="124"/>
      <c r="U53" s="124"/>
      <c r="V53" s="124"/>
      <c r="W53" s="135"/>
      <c r="X53" s="182">
        <v>21</v>
      </c>
      <c r="Y53" s="200"/>
      <c r="Z53" s="201"/>
      <c r="AA53" s="182"/>
      <c r="AB53" s="225"/>
      <c r="AC53" s="277"/>
      <c r="AD53" s="108"/>
      <c r="AE53" s="108">
        <f t="shared" si="7"/>
        <v>0</v>
      </c>
      <c r="AF53" s="182"/>
      <c r="AG53" s="182"/>
      <c r="AH53" s="202"/>
      <c r="AI53" s="203"/>
      <c r="AJ53" s="108">
        <f t="shared" si="10"/>
        <v>0</v>
      </c>
      <c r="AK53" s="163"/>
      <c r="AL53" s="258">
        <f t="shared" si="8"/>
        <v>0</v>
      </c>
      <c r="AM53" s="221">
        <v>21</v>
      </c>
      <c r="AN53" s="16"/>
      <c r="AR53" s="92"/>
      <c r="AS53" s="11"/>
      <c r="AT53" s="11"/>
      <c r="AU53" s="2"/>
      <c r="AV53" s="2"/>
      <c r="AY53" s="12"/>
      <c r="AZ53" s="2"/>
      <c r="BA53" s="12"/>
      <c r="BB53" s="2"/>
    </row>
    <row r="54" spans="1:54" ht="18.75" x14ac:dyDescent="0.3">
      <c r="A54" s="280"/>
      <c r="B54" s="135"/>
      <c r="C54" s="135"/>
      <c r="D54" s="135"/>
      <c r="E54" s="135"/>
      <c r="F54" s="135"/>
      <c r="G54" s="135"/>
      <c r="H54" s="135"/>
      <c r="I54" s="135"/>
      <c r="J54" s="135"/>
      <c r="K54" s="135"/>
      <c r="L54" s="135"/>
      <c r="M54" s="135"/>
      <c r="N54" s="135"/>
      <c r="O54" s="135"/>
      <c r="P54" s="135"/>
      <c r="Q54" s="124"/>
      <c r="R54" s="135"/>
      <c r="S54" s="124"/>
      <c r="T54" s="124"/>
      <c r="U54" s="124"/>
      <c r="V54" s="124"/>
      <c r="W54" s="135"/>
      <c r="X54" s="182">
        <v>22</v>
      </c>
      <c r="Y54" s="200"/>
      <c r="Z54" s="201"/>
      <c r="AA54" s="182"/>
      <c r="AB54" s="182"/>
      <c r="AC54" s="277"/>
      <c r="AD54" s="108"/>
      <c r="AE54" s="108">
        <f t="shared" si="7"/>
        <v>0</v>
      </c>
      <c r="AF54" s="182"/>
      <c r="AG54" s="182"/>
      <c r="AH54" s="202"/>
      <c r="AI54" s="203"/>
      <c r="AJ54" s="108">
        <f t="shared" si="10"/>
        <v>0</v>
      </c>
      <c r="AK54" s="163"/>
      <c r="AL54" s="258">
        <f t="shared" si="8"/>
        <v>0</v>
      </c>
      <c r="AM54" s="221">
        <v>22</v>
      </c>
      <c r="AN54" s="22"/>
      <c r="AR54" s="92"/>
      <c r="AS54" s="11"/>
      <c r="AT54" s="11"/>
      <c r="AU54" s="2"/>
      <c r="AV54" s="2"/>
      <c r="AY54" s="12"/>
      <c r="AZ54" s="2"/>
      <c r="BA54" s="12"/>
      <c r="BB54" s="2"/>
    </row>
    <row r="55" spans="1:54" ht="18.75" x14ac:dyDescent="0.3">
      <c r="A55" s="280"/>
      <c r="B55" s="135"/>
      <c r="C55" s="135"/>
      <c r="D55" s="135"/>
      <c r="E55" s="135"/>
      <c r="F55" s="135"/>
      <c r="G55" s="135"/>
      <c r="H55" s="135"/>
      <c r="I55" s="135"/>
      <c r="J55" s="135"/>
      <c r="K55" s="135"/>
      <c r="L55" s="135"/>
      <c r="M55" s="135"/>
      <c r="N55" s="135"/>
      <c r="O55" s="135"/>
      <c r="P55" s="135"/>
      <c r="Q55" s="124"/>
      <c r="R55" s="135"/>
      <c r="S55" s="124"/>
      <c r="T55" s="124"/>
      <c r="U55" s="124"/>
      <c r="V55" s="124"/>
      <c r="W55" s="135"/>
      <c r="X55" s="182">
        <v>23</v>
      </c>
      <c r="Y55" s="217"/>
      <c r="Z55" s="201"/>
      <c r="AA55" s="182"/>
      <c r="AB55" s="221"/>
      <c r="AC55" s="277"/>
      <c r="AD55" s="108"/>
      <c r="AE55" s="108">
        <f t="shared" si="7"/>
        <v>0</v>
      </c>
      <c r="AF55" s="182"/>
      <c r="AG55" s="216"/>
      <c r="AH55" s="202"/>
      <c r="AI55" s="203"/>
      <c r="AJ55" s="108">
        <f t="shared" si="10"/>
        <v>0</v>
      </c>
      <c r="AK55" s="163"/>
      <c r="AL55" s="258">
        <f t="shared" si="8"/>
        <v>0</v>
      </c>
      <c r="AM55" s="221">
        <v>23</v>
      </c>
      <c r="AN55" s="22"/>
      <c r="AR55" s="92"/>
      <c r="AS55" s="2"/>
      <c r="AT55" s="2"/>
      <c r="AU55" s="2"/>
      <c r="AV55" s="2"/>
      <c r="AY55" s="2"/>
      <c r="AZ55" s="2"/>
      <c r="BA55" s="12"/>
      <c r="BB55" s="2"/>
    </row>
    <row r="56" spans="1:54" ht="18.75" x14ac:dyDescent="0.3">
      <c r="A56" s="280"/>
      <c r="B56" s="135"/>
      <c r="C56" s="135"/>
      <c r="D56" s="135"/>
      <c r="E56" s="135"/>
      <c r="F56" s="135"/>
      <c r="G56" s="135"/>
      <c r="H56" s="135"/>
      <c r="I56" s="135"/>
      <c r="J56" s="135"/>
      <c r="K56" s="135"/>
      <c r="L56" s="135"/>
      <c r="M56" s="135"/>
      <c r="N56" s="135"/>
      <c r="O56" s="135"/>
      <c r="P56" s="135"/>
      <c r="Q56" s="124"/>
      <c r="R56" s="135"/>
      <c r="S56" s="124"/>
      <c r="T56" s="124"/>
      <c r="U56" s="124"/>
      <c r="V56" s="124"/>
      <c r="W56" s="135"/>
      <c r="X56" s="182">
        <v>24</v>
      </c>
      <c r="Y56" s="200"/>
      <c r="Z56" s="201"/>
      <c r="AA56" s="182"/>
      <c r="AB56" s="182"/>
      <c r="AC56" s="277"/>
      <c r="AD56" s="108"/>
      <c r="AE56" s="108">
        <f t="shared" si="7"/>
        <v>0</v>
      </c>
      <c r="AF56" s="182"/>
      <c r="AG56" s="182"/>
      <c r="AH56" s="202"/>
      <c r="AI56" s="203"/>
      <c r="AJ56" s="108">
        <f t="shared" si="10"/>
        <v>0</v>
      </c>
      <c r="AK56" s="301"/>
      <c r="AL56" s="258">
        <f t="shared" si="8"/>
        <v>0</v>
      </c>
      <c r="AM56" s="221">
        <v>24</v>
      </c>
      <c r="AN56" s="22"/>
      <c r="AR56" s="2"/>
      <c r="AS56" s="2"/>
      <c r="AT56" s="2"/>
      <c r="AU56" s="2"/>
      <c r="AV56" s="2"/>
      <c r="AY56" s="2"/>
      <c r="AZ56" s="2"/>
      <c r="BA56" s="2"/>
      <c r="BB56" s="2"/>
    </row>
    <row r="57" spans="1:54" ht="18.75" x14ac:dyDescent="0.3">
      <c r="A57" s="280"/>
      <c r="B57" s="135"/>
      <c r="C57" s="135"/>
      <c r="D57" s="135"/>
      <c r="E57" s="135"/>
      <c r="F57" s="135"/>
      <c r="G57" s="135"/>
      <c r="H57" s="135"/>
      <c r="I57" s="135"/>
      <c r="J57" s="135"/>
      <c r="K57" s="135"/>
      <c r="L57" s="135"/>
      <c r="M57" s="135"/>
      <c r="N57" s="135"/>
      <c r="O57" s="135"/>
      <c r="P57" s="135"/>
      <c r="Q57" s="124"/>
      <c r="R57" s="135"/>
      <c r="S57" s="124"/>
      <c r="T57" s="124"/>
      <c r="U57" s="124"/>
      <c r="V57" s="124"/>
      <c r="W57" s="135"/>
      <c r="X57" s="182">
        <v>25</v>
      </c>
      <c r="Y57" s="200"/>
      <c r="Z57" s="201"/>
      <c r="AA57" s="182"/>
      <c r="AB57" s="182"/>
      <c r="AC57" s="277"/>
      <c r="AD57" s="108"/>
      <c r="AE57" s="108">
        <f t="shared" si="7"/>
        <v>0</v>
      </c>
      <c r="AF57" s="182"/>
      <c r="AG57" s="182"/>
      <c r="AH57" s="202"/>
      <c r="AI57" s="203"/>
      <c r="AJ57" s="108">
        <f t="shared" si="10"/>
        <v>0</v>
      </c>
      <c r="AK57" s="163"/>
      <c r="AL57" s="258">
        <f t="shared" si="8"/>
        <v>0</v>
      </c>
      <c r="AM57" s="221">
        <v>25</v>
      </c>
      <c r="AN57" s="36"/>
      <c r="AR57" s="92"/>
      <c r="AS57" s="2"/>
      <c r="AT57" s="2"/>
      <c r="AU57" s="2"/>
      <c r="AV57" s="2"/>
      <c r="AY57" s="2"/>
      <c r="AZ57" s="2"/>
      <c r="BA57" s="2"/>
      <c r="BB57" s="2"/>
    </row>
    <row r="58" spans="1:54" ht="18.75" x14ac:dyDescent="0.3">
      <c r="A58" s="280"/>
      <c r="B58" s="135"/>
      <c r="C58" s="135"/>
      <c r="D58" s="135"/>
      <c r="E58" s="135"/>
      <c r="F58" s="135"/>
      <c r="G58" s="135"/>
      <c r="H58" s="135"/>
      <c r="I58" s="135"/>
      <c r="J58" s="135"/>
      <c r="K58" s="135"/>
      <c r="L58" s="135"/>
      <c r="M58" s="135"/>
      <c r="N58" s="135"/>
      <c r="O58" s="135"/>
      <c r="P58" s="135"/>
      <c r="Q58" s="124"/>
      <c r="R58" s="135"/>
      <c r="S58" s="124"/>
      <c r="T58" s="124"/>
      <c r="U58" s="124"/>
      <c r="V58" s="124"/>
      <c r="W58" s="135"/>
      <c r="X58" s="182">
        <v>26</v>
      </c>
      <c r="Y58" s="200"/>
      <c r="Z58" s="201"/>
      <c r="AA58" s="182"/>
      <c r="AB58" s="182"/>
      <c r="AC58" s="277"/>
      <c r="AD58" s="108"/>
      <c r="AE58" s="108">
        <f t="shared" si="7"/>
        <v>0</v>
      </c>
      <c r="AF58" s="182"/>
      <c r="AG58" s="182"/>
      <c r="AH58" s="202"/>
      <c r="AI58" s="203"/>
      <c r="AJ58" s="108">
        <f t="shared" si="10"/>
        <v>0</v>
      </c>
      <c r="AK58" s="163"/>
      <c r="AL58" s="258">
        <f t="shared" si="8"/>
        <v>0</v>
      </c>
      <c r="AM58" s="221">
        <v>26</v>
      </c>
      <c r="AN58" s="16"/>
      <c r="AR58" s="2"/>
      <c r="AS58" s="2"/>
      <c r="AT58" s="2"/>
      <c r="AU58" s="2"/>
      <c r="AV58" s="2"/>
      <c r="AY58" s="2"/>
      <c r="AZ58" s="2"/>
      <c r="BA58" s="2"/>
      <c r="BB58" s="2"/>
    </row>
    <row r="59" spans="1:54" ht="18.75" x14ac:dyDescent="0.3">
      <c r="A59" s="280"/>
      <c r="B59" s="135"/>
      <c r="C59" s="135"/>
      <c r="D59" s="135"/>
      <c r="E59" s="135"/>
      <c r="F59" s="135"/>
      <c r="G59" s="135"/>
      <c r="H59" s="135"/>
      <c r="I59" s="135"/>
      <c r="J59" s="135"/>
      <c r="K59" s="135"/>
      <c r="L59" s="135"/>
      <c r="M59" s="135"/>
      <c r="N59" s="135"/>
      <c r="O59" s="135"/>
      <c r="P59" s="135"/>
      <c r="Q59" s="124"/>
      <c r="R59" s="135"/>
      <c r="S59" s="124"/>
      <c r="T59" s="124"/>
      <c r="U59" s="124"/>
      <c r="V59" s="124"/>
      <c r="W59" s="135"/>
      <c r="X59" s="182">
        <v>27</v>
      </c>
      <c r="Y59" s="200"/>
      <c r="Z59" s="201"/>
      <c r="AA59" s="182"/>
      <c r="AB59" s="182"/>
      <c r="AC59" s="277"/>
      <c r="AD59" s="108"/>
      <c r="AE59" s="108">
        <f t="shared" si="7"/>
        <v>0</v>
      </c>
      <c r="AF59" s="182"/>
      <c r="AG59" s="182"/>
      <c r="AH59" s="202"/>
      <c r="AI59" s="203"/>
      <c r="AJ59" s="108">
        <f t="shared" si="10"/>
        <v>0</v>
      </c>
      <c r="AK59" s="163"/>
      <c r="AL59" s="258">
        <f t="shared" si="8"/>
        <v>0</v>
      </c>
      <c r="AM59" s="221">
        <v>27</v>
      </c>
      <c r="AN59" s="16"/>
      <c r="AR59" s="2"/>
      <c r="AS59" s="2"/>
      <c r="AT59" s="2"/>
      <c r="AU59" s="2"/>
      <c r="AV59" s="12"/>
      <c r="AY59" s="2"/>
      <c r="AZ59" s="2"/>
      <c r="BA59" s="2"/>
      <c r="BB59" s="2"/>
    </row>
    <row r="60" spans="1:54" ht="18.75" x14ac:dyDescent="0.3">
      <c r="A60" s="280"/>
      <c r="B60" s="135"/>
      <c r="C60" s="135"/>
      <c r="D60" s="135"/>
      <c r="E60" s="135"/>
      <c r="F60" s="135"/>
      <c r="G60" s="135"/>
      <c r="H60" s="135"/>
      <c r="I60" s="135"/>
      <c r="J60" s="135"/>
      <c r="K60" s="135"/>
      <c r="L60" s="135"/>
      <c r="M60" s="135"/>
      <c r="N60" s="135"/>
      <c r="O60" s="135"/>
      <c r="P60" s="135"/>
      <c r="Q60" s="124"/>
      <c r="R60" s="135"/>
      <c r="S60" s="124"/>
      <c r="T60" s="124"/>
      <c r="U60" s="124"/>
      <c r="V60" s="124"/>
      <c r="W60" s="135"/>
      <c r="X60" s="182">
        <v>28</v>
      </c>
      <c r="Y60" s="200"/>
      <c r="Z60" s="201"/>
      <c r="AA60" s="182"/>
      <c r="AB60" s="227"/>
      <c r="AC60" s="277"/>
      <c r="AD60" s="108"/>
      <c r="AE60" s="108">
        <f t="shared" si="7"/>
        <v>0</v>
      </c>
      <c r="AF60" s="182"/>
      <c r="AG60" s="182"/>
      <c r="AH60" s="202"/>
      <c r="AI60" s="203"/>
      <c r="AJ60" s="108">
        <f t="shared" si="10"/>
        <v>0</v>
      </c>
      <c r="AK60" s="163"/>
      <c r="AL60" s="258">
        <f t="shared" si="8"/>
        <v>0</v>
      </c>
      <c r="AM60" s="221">
        <v>28</v>
      </c>
      <c r="AN60" s="16"/>
      <c r="AR60" s="12"/>
      <c r="AS60" s="2"/>
      <c r="AT60" s="2"/>
      <c r="AU60" s="2"/>
      <c r="AV60" s="12"/>
      <c r="AY60" s="2"/>
      <c r="AZ60" s="2"/>
      <c r="BA60" s="2"/>
      <c r="BB60" s="2"/>
    </row>
    <row r="61" spans="1:54" ht="18.75" x14ac:dyDescent="0.3">
      <c r="A61" s="280"/>
      <c r="B61" s="135"/>
      <c r="C61" s="135"/>
      <c r="D61" s="135"/>
      <c r="E61" s="135"/>
      <c r="F61" s="135"/>
      <c r="G61" s="135"/>
      <c r="H61" s="135"/>
      <c r="I61" s="135"/>
      <c r="J61" s="135"/>
      <c r="K61" s="135"/>
      <c r="L61" s="135"/>
      <c r="M61" s="135"/>
      <c r="N61" s="135"/>
      <c r="O61" s="135"/>
      <c r="P61" s="135"/>
      <c r="Q61" s="124"/>
      <c r="R61" s="135"/>
      <c r="S61" s="124"/>
      <c r="T61" s="124"/>
      <c r="U61" s="124"/>
      <c r="V61" s="124"/>
      <c r="W61" s="135"/>
      <c r="X61" s="182">
        <v>29</v>
      </c>
      <c r="Y61" s="223"/>
      <c r="Z61" s="224"/>
      <c r="AA61" s="208"/>
      <c r="AB61" s="208"/>
      <c r="AC61" s="277"/>
      <c r="AD61" s="210"/>
      <c r="AE61" s="108">
        <f t="shared" si="7"/>
        <v>0</v>
      </c>
      <c r="AF61" s="182"/>
      <c r="AG61" s="182"/>
      <c r="AH61" s="282"/>
      <c r="AI61" s="203"/>
      <c r="AJ61" s="108">
        <f t="shared" si="10"/>
        <v>0</v>
      </c>
      <c r="AK61" s="306"/>
      <c r="AL61" s="258">
        <f t="shared" si="8"/>
        <v>0</v>
      </c>
      <c r="AM61" s="221">
        <v>29</v>
      </c>
      <c r="AN61" s="16"/>
      <c r="AR61" s="12"/>
      <c r="AS61" s="2"/>
      <c r="AT61" s="2"/>
      <c r="AU61" s="2"/>
      <c r="AV61" s="12"/>
    </row>
    <row r="62" spans="1:54" ht="18.75" x14ac:dyDescent="0.3">
      <c r="A62" s="280"/>
      <c r="B62" s="135"/>
      <c r="C62" s="135"/>
      <c r="D62" s="135"/>
      <c r="E62" s="135"/>
      <c r="F62" s="135"/>
      <c r="G62" s="135"/>
      <c r="H62" s="135"/>
      <c r="I62" s="135"/>
      <c r="J62" s="135"/>
      <c r="K62" s="135"/>
      <c r="L62" s="135"/>
      <c r="M62" s="135"/>
      <c r="N62" s="135"/>
      <c r="O62" s="135"/>
      <c r="P62" s="135"/>
      <c r="Q62" s="124"/>
      <c r="R62" s="135"/>
      <c r="S62" s="124"/>
      <c r="T62" s="124"/>
      <c r="U62" s="124"/>
      <c r="V62" s="124"/>
      <c r="W62" s="135"/>
      <c r="X62" s="182">
        <v>30</v>
      </c>
      <c r="Y62" s="223"/>
      <c r="Z62" s="224"/>
      <c r="AA62" s="208"/>
      <c r="AB62" s="208"/>
      <c r="AC62" s="277"/>
      <c r="AD62" s="108"/>
      <c r="AE62" s="108">
        <f t="shared" si="7"/>
        <v>0</v>
      </c>
      <c r="AF62" s="182"/>
      <c r="AG62" s="283"/>
      <c r="AH62" s="284"/>
      <c r="AI62" s="285"/>
      <c r="AJ62" s="286">
        <f t="shared" si="10"/>
        <v>0</v>
      </c>
      <c r="AK62" s="301"/>
      <c r="AL62" s="307">
        <f t="shared" si="8"/>
        <v>0</v>
      </c>
      <c r="AM62" s="221">
        <v>30</v>
      </c>
      <c r="AN62" s="16"/>
      <c r="AR62" s="2"/>
      <c r="AS62" s="2"/>
      <c r="AT62" s="2"/>
      <c r="AU62" s="2"/>
      <c r="AV62" s="12"/>
    </row>
    <row r="63" spans="1:54" ht="18.75" x14ac:dyDescent="0.3">
      <c r="A63" s="280"/>
      <c r="B63" s="135"/>
      <c r="C63" s="135"/>
      <c r="D63" s="135"/>
      <c r="E63" s="135"/>
      <c r="F63" s="135"/>
      <c r="G63" s="135"/>
      <c r="H63" s="135"/>
      <c r="I63" s="135"/>
      <c r="J63" s="135"/>
      <c r="K63" s="135"/>
      <c r="L63" s="135"/>
      <c r="M63" s="135"/>
      <c r="N63" s="135"/>
      <c r="O63" s="135"/>
      <c r="P63" s="135"/>
      <c r="Q63" s="124"/>
      <c r="R63" s="135"/>
      <c r="S63" s="124"/>
      <c r="T63" s="124"/>
      <c r="U63" s="124"/>
      <c r="V63" s="124"/>
      <c r="W63" s="135"/>
      <c r="X63" s="24"/>
      <c r="Y63" s="160"/>
      <c r="Z63" s="161"/>
      <c r="AA63" s="24"/>
      <c r="AB63" s="24"/>
      <c r="AC63" s="277">
        <f>SUM(AC33:AC62)</f>
        <v>0</v>
      </c>
      <c r="AD63" s="287"/>
      <c r="AE63" s="163"/>
      <c r="AF63" s="24"/>
      <c r="AG63" s="288"/>
      <c r="AH63" s="289" t="s">
        <v>75</v>
      </c>
      <c r="AI63" s="290"/>
      <c r="AJ63" s="291">
        <f>SUM(AJ3:AJ62)</f>
        <v>0</v>
      </c>
      <c r="AK63" s="163"/>
      <c r="AL63" s="258">
        <f t="shared" si="8"/>
        <v>0</v>
      </c>
      <c r="AM63" s="38"/>
      <c r="AN63" s="16"/>
      <c r="AR63" s="2"/>
      <c r="AS63" s="2"/>
      <c r="AT63" s="2"/>
      <c r="AU63" s="2"/>
      <c r="AV63" s="12"/>
    </row>
    <row r="64" spans="1:54" ht="18.75" x14ac:dyDescent="0.3">
      <c r="A64" s="280"/>
      <c r="B64" s="135"/>
      <c r="C64" s="135"/>
      <c r="D64" s="135"/>
      <c r="E64" s="135"/>
      <c r="F64" s="135"/>
      <c r="G64" s="135"/>
      <c r="H64" s="135"/>
      <c r="I64" s="135"/>
      <c r="J64" s="135"/>
      <c r="K64" s="135"/>
      <c r="L64" s="135"/>
      <c r="M64" s="135"/>
      <c r="N64" s="135"/>
      <c r="O64" s="135"/>
      <c r="P64" s="135"/>
      <c r="Q64" s="124"/>
      <c r="R64" s="135"/>
      <c r="S64" s="124"/>
      <c r="T64" s="124"/>
      <c r="U64" s="124"/>
      <c r="V64" s="124"/>
      <c r="W64" s="135"/>
      <c r="X64" s="24"/>
      <c r="Y64" s="292"/>
      <c r="Z64" s="293"/>
      <c r="AA64" s="32"/>
      <c r="AB64" s="294"/>
      <c r="AC64" s="295" t="s">
        <v>16</v>
      </c>
      <c r="AD64" s="296">
        <f>SUM(AD33:AD63)</f>
        <v>0</v>
      </c>
      <c r="AE64" s="163"/>
      <c r="AF64" s="24"/>
      <c r="AG64" s="24"/>
      <c r="AH64" s="297"/>
      <c r="AI64" s="165"/>
      <c r="AJ64" s="163"/>
      <c r="AK64" s="163"/>
      <c r="AL64" s="124"/>
      <c r="AM64" s="124"/>
      <c r="AN64" s="36"/>
      <c r="AR64" s="2"/>
      <c r="AS64" s="2"/>
      <c r="AT64" s="2"/>
      <c r="AU64" s="2"/>
      <c r="AV64" s="12"/>
    </row>
    <row r="65" spans="1:55" ht="18.75" x14ac:dyDescent="0.3">
      <c r="A65" s="280"/>
      <c r="B65" s="135"/>
      <c r="C65" s="135"/>
      <c r="D65" s="135"/>
      <c r="E65" s="135"/>
      <c r="F65" s="135"/>
      <c r="G65" s="135"/>
      <c r="H65" s="135"/>
      <c r="I65" s="135"/>
      <c r="J65" s="135"/>
      <c r="K65" s="135"/>
      <c r="L65" s="135"/>
      <c r="M65" s="135"/>
      <c r="N65" s="135"/>
      <c r="O65" s="135"/>
      <c r="P65" s="135"/>
      <c r="Q65" s="124"/>
      <c r="R65" s="135"/>
      <c r="S65" s="124"/>
      <c r="T65" s="124"/>
      <c r="U65" s="124"/>
      <c r="V65" s="124"/>
      <c r="W65" s="135"/>
      <c r="X65" s="24"/>
      <c r="Y65" s="160"/>
      <c r="Z65" s="161"/>
      <c r="AA65" s="24"/>
      <c r="AB65" s="24"/>
      <c r="AC65" s="163"/>
      <c r="AD65" s="163"/>
      <c r="AE65" s="163"/>
      <c r="AF65" s="24"/>
      <c r="AG65" s="24"/>
      <c r="AH65" s="297"/>
      <c r="AI65" s="165"/>
      <c r="AJ65" s="163"/>
      <c r="AK65" s="163"/>
      <c r="AL65" s="24"/>
      <c r="AM65" s="308"/>
      <c r="AN65" s="16"/>
      <c r="AR65" s="2"/>
      <c r="AS65" s="2"/>
      <c r="AT65" s="2"/>
      <c r="AU65" s="2"/>
      <c r="AV65" s="2"/>
    </row>
    <row r="66" spans="1:55" ht="18.75" x14ac:dyDescent="0.3">
      <c r="A66" s="280"/>
      <c r="B66" s="135"/>
      <c r="C66" s="135"/>
      <c r="D66" s="135"/>
      <c r="E66" s="135"/>
      <c r="F66" s="135"/>
      <c r="G66" s="135"/>
      <c r="H66" s="135"/>
      <c r="I66" s="135"/>
      <c r="J66" s="135"/>
      <c r="K66" s="135"/>
      <c r="L66" s="135"/>
      <c r="M66" s="135"/>
      <c r="N66" s="135"/>
      <c r="O66" s="135"/>
      <c r="P66" s="135"/>
      <c r="Q66" s="124"/>
      <c r="R66" s="135"/>
      <c r="S66" s="124"/>
      <c r="T66" s="124"/>
      <c r="U66" s="124"/>
      <c r="V66" s="124"/>
      <c r="W66" s="135"/>
      <c r="X66" s="24"/>
      <c r="Y66" s="160"/>
      <c r="Z66" s="161"/>
      <c r="AA66" s="24"/>
      <c r="AB66" s="24"/>
      <c r="AC66" s="163"/>
      <c r="AD66" s="163"/>
      <c r="AE66" s="163"/>
      <c r="AF66" s="24"/>
      <c r="AG66" s="24"/>
      <c r="AH66" s="297"/>
      <c r="AI66" s="202" t="s">
        <v>76</v>
      </c>
      <c r="AJ66" s="163"/>
      <c r="AK66" s="163"/>
      <c r="AL66" s="24"/>
      <c r="AM66" s="308"/>
      <c r="AN66" s="16"/>
      <c r="AR66" s="2"/>
      <c r="AS66" s="2"/>
      <c r="AT66" s="2"/>
      <c r="AU66" s="2"/>
      <c r="AV66" s="2"/>
    </row>
    <row r="67" spans="1:55" ht="18.75" x14ac:dyDescent="0.3">
      <c r="A67" s="280"/>
      <c r="B67" s="135"/>
      <c r="C67" s="135"/>
      <c r="D67" s="135"/>
      <c r="E67" s="135"/>
      <c r="F67" s="135"/>
      <c r="G67" s="135"/>
      <c r="H67" s="135"/>
      <c r="I67" s="135"/>
      <c r="J67" s="135"/>
      <c r="K67" s="135"/>
      <c r="L67" s="135"/>
      <c r="M67" s="135"/>
      <c r="N67" s="135"/>
      <c r="O67" s="135"/>
      <c r="P67" s="135"/>
      <c r="Q67" s="124"/>
      <c r="R67" s="135"/>
      <c r="S67" s="124"/>
      <c r="T67" s="124"/>
      <c r="U67" s="124"/>
      <c r="V67" s="124"/>
      <c r="W67" s="135"/>
      <c r="X67" s="24"/>
      <c r="Y67" s="160"/>
      <c r="Z67" s="161"/>
      <c r="AA67" s="24"/>
      <c r="AB67" s="24"/>
      <c r="AC67" s="231" t="s">
        <v>16</v>
      </c>
      <c r="AD67" s="231">
        <f>AD30</f>
        <v>0</v>
      </c>
      <c r="AE67" s="163"/>
      <c r="AF67" s="24"/>
      <c r="AG67" s="24"/>
      <c r="AH67" s="297"/>
      <c r="AI67" s="233"/>
      <c r="AJ67" s="291">
        <f>AJ63</f>
        <v>0</v>
      </c>
      <c r="AK67" s="163"/>
      <c r="AL67" s="24"/>
      <c r="AM67" s="308"/>
      <c r="AN67" s="16"/>
      <c r="AR67" s="2"/>
      <c r="AS67" s="2"/>
      <c r="AT67" s="2"/>
      <c r="AU67" s="2"/>
      <c r="AV67" s="2"/>
    </row>
    <row r="68" spans="1:55" ht="18.75" x14ac:dyDescent="0.3">
      <c r="A68" s="280"/>
      <c r="B68" s="135"/>
      <c r="C68" s="135"/>
      <c r="D68" s="135"/>
      <c r="E68" s="135"/>
      <c r="F68" s="135"/>
      <c r="G68" s="135"/>
      <c r="H68" s="135"/>
      <c r="I68" s="135"/>
      <c r="J68" s="135"/>
      <c r="K68" s="135"/>
      <c r="L68" s="135"/>
      <c r="M68" s="135"/>
      <c r="N68" s="135"/>
      <c r="O68" s="135"/>
      <c r="P68" s="135"/>
      <c r="Q68" s="124"/>
      <c r="R68" s="135"/>
      <c r="S68" s="124"/>
      <c r="T68" s="124"/>
      <c r="U68" s="124"/>
      <c r="V68" s="124"/>
      <c r="W68" s="135"/>
      <c r="X68" s="24"/>
      <c r="Y68" s="160"/>
      <c r="Z68" s="161"/>
      <c r="AA68" s="24"/>
      <c r="AB68" s="24"/>
      <c r="AC68" s="295" t="s">
        <v>16</v>
      </c>
      <c r="AD68" s="296">
        <f>AD64</f>
        <v>0</v>
      </c>
      <c r="AE68" s="163"/>
      <c r="AF68" s="24"/>
      <c r="AG68" s="24"/>
      <c r="AH68" s="297"/>
      <c r="AI68" s="298" t="s">
        <v>32</v>
      </c>
      <c r="AJ68" s="295">
        <f>'JANV 2026'!AJ69</f>
        <v>0</v>
      </c>
      <c r="AK68" s="163"/>
      <c r="AL68" s="24"/>
      <c r="AM68" s="308"/>
      <c r="AN68" s="16"/>
      <c r="AR68" s="2"/>
      <c r="AS68" s="2"/>
      <c r="AT68" s="2"/>
      <c r="AU68" s="2"/>
      <c r="AV68" s="2"/>
      <c r="BC68" s="20"/>
    </row>
    <row r="69" spans="1:55" ht="18.75" x14ac:dyDescent="0.3">
      <c r="A69" s="280"/>
      <c r="B69" s="135"/>
      <c r="C69" s="135"/>
      <c r="D69" s="135"/>
      <c r="E69" s="135"/>
      <c r="F69" s="135"/>
      <c r="G69" s="135"/>
      <c r="H69" s="135"/>
      <c r="I69" s="135"/>
      <c r="J69" s="135"/>
      <c r="K69" s="135"/>
      <c r="L69" s="135"/>
      <c r="M69" s="135"/>
      <c r="N69" s="135"/>
      <c r="O69" s="135"/>
      <c r="P69" s="135"/>
      <c r="Q69" s="124"/>
      <c r="R69" s="135"/>
      <c r="S69" s="124"/>
      <c r="T69" s="124"/>
      <c r="U69" s="124"/>
      <c r="V69" s="124"/>
      <c r="W69" s="135"/>
      <c r="X69" s="24"/>
      <c r="Y69" s="160"/>
      <c r="Z69" s="161"/>
      <c r="AA69" s="24"/>
      <c r="AB69" s="24"/>
      <c r="AC69" s="299" t="s">
        <v>74</v>
      </c>
      <c r="AD69" s="299">
        <f>SUM(AD67:AD68)</f>
        <v>0</v>
      </c>
      <c r="AE69" s="163"/>
      <c r="AF69" s="24"/>
      <c r="AG69" s="24"/>
      <c r="AH69" s="297"/>
      <c r="AI69" s="298" t="s">
        <v>33</v>
      </c>
      <c r="AJ69" s="300">
        <f>SUM(AJ67:AJ68)</f>
        <v>0</v>
      </c>
      <c r="AK69" s="163"/>
      <c r="AL69" s="24"/>
      <c r="AM69" s="308"/>
      <c r="AN69" s="16"/>
      <c r="AR69" s="2"/>
      <c r="AS69" s="2"/>
      <c r="AT69" s="2"/>
      <c r="AU69" s="2"/>
      <c r="AV69" s="2"/>
      <c r="BC69" s="20"/>
    </row>
    <row r="70" spans="1:55" ht="18.75" x14ac:dyDescent="0.3">
      <c r="A70" s="1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X70" s="16"/>
      <c r="Y70" s="41"/>
      <c r="Z70" s="42"/>
      <c r="AA70" s="20"/>
      <c r="AB70" s="44"/>
      <c r="AC70" s="19"/>
      <c r="AD70" s="19"/>
      <c r="AE70" s="19"/>
      <c r="AF70" s="20"/>
      <c r="AG70" s="20"/>
      <c r="AH70" s="43"/>
      <c r="AI70" s="21"/>
      <c r="AJ70" s="22"/>
      <c r="AK70" s="17"/>
      <c r="AL70" s="16"/>
      <c r="AM70" s="39"/>
      <c r="AN70" s="22"/>
      <c r="AR70" s="2"/>
      <c r="AS70" s="2"/>
      <c r="AT70" s="2"/>
      <c r="AU70" s="2"/>
      <c r="AV70" s="2"/>
    </row>
    <row r="71" spans="1:55" ht="18.75" x14ac:dyDescent="0.3">
      <c r="A71" s="1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X71" s="16"/>
      <c r="Y71" s="45"/>
      <c r="Z71" s="46"/>
      <c r="AA71" s="47"/>
      <c r="AB71" s="47"/>
      <c r="AC71" s="48"/>
      <c r="AD71" s="48"/>
      <c r="AE71" s="19"/>
      <c r="AF71" s="20"/>
      <c r="AG71" s="20"/>
      <c r="AH71" s="43"/>
      <c r="AK71" s="17"/>
      <c r="AL71" s="16"/>
      <c r="AM71" s="39"/>
      <c r="AN71" s="22"/>
      <c r="BA71" s="7"/>
    </row>
    <row r="72" spans="1:55" ht="18.75" x14ac:dyDescent="0.3">
      <c r="A72" s="1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X72" s="16"/>
      <c r="Y72" s="45"/>
      <c r="Z72" s="46"/>
      <c r="AA72" s="47"/>
      <c r="AB72" s="47"/>
      <c r="AC72" s="19"/>
      <c r="AD72" s="19"/>
      <c r="AE72" s="19"/>
      <c r="AF72" s="20"/>
      <c r="AG72" s="20"/>
      <c r="AH72" s="43"/>
      <c r="AK72" s="17"/>
      <c r="AL72" s="16"/>
      <c r="AM72" s="39"/>
      <c r="AN72" s="22"/>
      <c r="AY72" s="7"/>
      <c r="BA72" s="7"/>
    </row>
    <row r="73" spans="1:55" ht="18.75" x14ac:dyDescent="0.3">
      <c r="A73" s="1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X73" s="16"/>
      <c r="Y73" s="41"/>
      <c r="Z73" s="42"/>
      <c r="AA73" s="20"/>
      <c r="AB73" s="20"/>
      <c r="AC73" s="19"/>
      <c r="AD73" s="19"/>
      <c r="AE73" s="19"/>
      <c r="AF73" s="20"/>
      <c r="AG73" s="20"/>
      <c r="AH73" s="49"/>
      <c r="AK73" s="17"/>
      <c r="AL73" s="16"/>
      <c r="AM73" s="40" t="s">
        <v>34</v>
      </c>
      <c r="AN73" s="16"/>
      <c r="AY73" s="7"/>
      <c r="BA73" s="7"/>
    </row>
    <row r="74" spans="1:55" x14ac:dyDescent="0.2">
      <c r="A74" s="1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AY74" s="2"/>
    </row>
    <row r="75" spans="1:55" x14ac:dyDescent="0.2">
      <c r="A75" s="1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AR75" s="2"/>
      <c r="AS75" s="2"/>
      <c r="AT75" s="2"/>
      <c r="AU75" s="2"/>
      <c r="AV75" s="2"/>
      <c r="AY75" s="2"/>
      <c r="AZ75" s="2"/>
      <c r="BA75" s="2"/>
      <c r="BB75" s="2"/>
    </row>
    <row r="76" spans="1:55" x14ac:dyDescent="0.2">
      <c r="A76" s="1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AR76" s="92"/>
      <c r="AS76" s="11"/>
      <c r="AT76" s="11"/>
      <c r="AU76" s="11"/>
      <c r="AV76" s="2"/>
      <c r="AY76" s="2"/>
      <c r="AZ76" s="2"/>
      <c r="BA76" s="12"/>
      <c r="BB76" s="2"/>
    </row>
    <row r="77" spans="1:55" x14ac:dyDescent="0.2">
      <c r="A77" s="12"/>
      <c r="B77" s="2"/>
      <c r="L77" s="2"/>
      <c r="M77" s="2"/>
      <c r="N77" s="2"/>
      <c r="O77" s="2"/>
      <c r="AR77" s="92"/>
      <c r="AS77" s="11"/>
      <c r="AT77" s="11"/>
      <c r="AU77" s="11"/>
      <c r="AV77" s="2"/>
      <c r="AY77" s="12"/>
      <c r="AZ77" s="2"/>
      <c r="BA77" s="12"/>
      <c r="BB77" s="2"/>
    </row>
    <row r="78" spans="1:55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AR78" s="92"/>
      <c r="AS78" s="11"/>
      <c r="AT78" s="11"/>
      <c r="AU78" s="11"/>
      <c r="AV78" s="2"/>
      <c r="AY78" s="12"/>
      <c r="AZ78" s="2"/>
      <c r="BA78" s="12"/>
      <c r="BB78" s="2"/>
    </row>
    <row r="79" spans="1:55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AR79" s="92"/>
      <c r="AS79" s="2"/>
      <c r="AT79" s="2"/>
      <c r="AU79" s="2"/>
      <c r="AV79" s="2"/>
      <c r="AY79" s="2"/>
      <c r="AZ79" s="2"/>
      <c r="BA79" s="12"/>
      <c r="BB79" s="2"/>
    </row>
    <row r="80" spans="1:55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AR80" s="2"/>
      <c r="AS80" s="11"/>
      <c r="AT80" s="11"/>
      <c r="AU80" s="11"/>
      <c r="AV80" s="2"/>
      <c r="AY80" s="2"/>
      <c r="AZ80" s="2"/>
      <c r="BA80" s="2"/>
      <c r="BB80" s="2"/>
    </row>
    <row r="81" spans="1:54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AR81" s="92"/>
      <c r="AS81" s="2"/>
      <c r="AT81" s="2"/>
      <c r="AU81" s="2"/>
      <c r="AV81" s="2"/>
      <c r="AY81" s="2"/>
      <c r="AZ81" s="2"/>
      <c r="BA81" s="2"/>
      <c r="BB81" s="2"/>
    </row>
    <row r="82" spans="1:54" x14ac:dyDescent="0.2">
      <c r="A82" s="2"/>
      <c r="B82" s="2"/>
      <c r="C82" s="2"/>
      <c r="D82" s="2"/>
      <c r="E82" s="2"/>
      <c r="F82" s="2"/>
      <c r="G82" s="2"/>
      <c r="H82" s="2"/>
      <c r="I82" s="2"/>
      <c r="J82" s="13"/>
      <c r="K82" s="2"/>
      <c r="L82" s="2"/>
      <c r="M82" s="2"/>
      <c r="N82" s="2"/>
      <c r="O82" s="2"/>
      <c r="P82" s="2"/>
      <c r="AR82" s="2"/>
      <c r="AS82" s="2"/>
      <c r="AT82" s="2"/>
      <c r="AU82" s="2"/>
      <c r="AV82" s="2"/>
      <c r="AY82" s="2"/>
      <c r="AZ82" s="2"/>
      <c r="BA82" s="2"/>
      <c r="BB82" s="2"/>
    </row>
    <row r="83" spans="1:54" x14ac:dyDescent="0.2">
      <c r="J83" s="13"/>
      <c r="K83" s="2"/>
      <c r="AR83" s="2"/>
      <c r="AS83" s="2"/>
      <c r="AT83" s="2"/>
      <c r="AU83" s="2"/>
      <c r="AV83" s="12"/>
      <c r="AY83" s="2"/>
      <c r="AZ83" s="2"/>
      <c r="BA83" s="2"/>
      <c r="BB83" s="2"/>
    </row>
    <row r="84" spans="1:54" x14ac:dyDescent="0.2">
      <c r="AR84" s="12"/>
      <c r="AS84" s="2"/>
      <c r="AT84" s="2"/>
      <c r="AU84" s="2"/>
      <c r="AV84" s="12"/>
      <c r="AY84" s="2"/>
      <c r="AZ84" s="2"/>
      <c r="BA84" s="2"/>
      <c r="BB84" s="2"/>
    </row>
    <row r="85" spans="1:54" x14ac:dyDescent="0.2">
      <c r="A85" s="2"/>
      <c r="B85" s="2"/>
      <c r="AR85" s="12"/>
      <c r="AS85" s="2"/>
      <c r="AT85" s="2"/>
      <c r="AU85" s="2"/>
      <c r="AV85" s="12"/>
    </row>
    <row r="86" spans="1:54" x14ac:dyDescent="0.2">
      <c r="A86" s="2"/>
      <c r="B86" s="2"/>
      <c r="C86" s="2"/>
      <c r="D86" s="2"/>
      <c r="E86" s="2"/>
      <c r="F86" s="6"/>
      <c r="I86" s="6"/>
      <c r="AR86" s="2"/>
      <c r="AS86" s="2"/>
      <c r="AT86" s="2"/>
      <c r="AU86" s="2"/>
      <c r="AV86" s="12"/>
    </row>
    <row r="87" spans="1:54" x14ac:dyDescent="0.2">
      <c r="C87" s="5"/>
      <c r="F87" s="6"/>
      <c r="AR87" s="2"/>
      <c r="AS87" s="2"/>
      <c r="AT87" s="2"/>
      <c r="AU87" s="2"/>
      <c r="AV87" s="12"/>
    </row>
    <row r="88" spans="1:54" x14ac:dyDescent="0.2">
      <c r="C88" s="5"/>
      <c r="AR88" s="2"/>
      <c r="AS88" s="2"/>
      <c r="AT88" s="2"/>
      <c r="AU88" s="2"/>
      <c r="AV88" s="12"/>
    </row>
    <row r="89" spans="1:54" x14ac:dyDescent="0.2">
      <c r="C89" s="5"/>
      <c r="AR89" s="2"/>
      <c r="AS89" s="2"/>
      <c r="AT89" s="2"/>
      <c r="AU89" s="2"/>
      <c r="AV89" s="2"/>
    </row>
    <row r="90" spans="1:54" x14ac:dyDescent="0.2">
      <c r="C90" s="5"/>
      <c r="AR90" s="2"/>
      <c r="AS90" s="2"/>
      <c r="AT90" s="2"/>
      <c r="AU90" s="2"/>
      <c r="AV90" s="2"/>
    </row>
    <row r="91" spans="1:54" x14ac:dyDescent="0.2">
      <c r="C91" s="5"/>
      <c r="AR91" s="2"/>
      <c r="AS91" s="2"/>
      <c r="AT91" s="2"/>
      <c r="AU91" s="2"/>
      <c r="AV91" s="2"/>
    </row>
    <row r="92" spans="1:54" x14ac:dyDescent="0.2">
      <c r="C92" s="5"/>
      <c r="AR92" s="2"/>
      <c r="AS92" s="2"/>
      <c r="AT92" s="2"/>
      <c r="AU92" s="2"/>
      <c r="AV92" s="2"/>
    </row>
    <row r="93" spans="1:54" x14ac:dyDescent="0.2">
      <c r="C93" s="5"/>
      <c r="AR93" s="2"/>
      <c r="AS93" s="2"/>
      <c r="AT93" s="2"/>
      <c r="AU93" s="2"/>
      <c r="AV93" s="2"/>
    </row>
    <row r="94" spans="1:54" x14ac:dyDescent="0.2">
      <c r="C94" s="5"/>
      <c r="AR94" s="2"/>
      <c r="AS94" s="11"/>
      <c r="AT94" s="11"/>
      <c r="AU94" s="11"/>
      <c r="AV94" s="2"/>
    </row>
    <row r="95" spans="1:54" x14ac:dyDescent="0.2">
      <c r="C95" s="5"/>
    </row>
    <row r="96" spans="1:54" x14ac:dyDescent="0.2">
      <c r="C96" s="5"/>
    </row>
    <row r="97" spans="3:3" x14ac:dyDescent="0.2">
      <c r="C97" s="5"/>
    </row>
    <row r="98" spans="3:3" x14ac:dyDescent="0.2">
      <c r="C98" s="5"/>
    </row>
    <row r="99" spans="3:3" x14ac:dyDescent="0.2">
      <c r="C99" s="5"/>
    </row>
    <row r="100" spans="3:3" x14ac:dyDescent="0.2">
      <c r="C100" s="5"/>
    </row>
    <row r="101" spans="3:3" x14ac:dyDescent="0.2">
      <c r="C101" s="5"/>
    </row>
    <row r="102" spans="3:3" x14ac:dyDescent="0.2">
      <c r="C102" s="5"/>
    </row>
    <row r="103" spans="3:3" x14ac:dyDescent="0.2">
      <c r="C103" s="5"/>
    </row>
    <row r="104" spans="3:3" x14ac:dyDescent="0.2">
      <c r="C104" s="5"/>
    </row>
    <row r="105" spans="3:3" x14ac:dyDescent="0.2">
      <c r="C105" s="5"/>
    </row>
    <row r="106" spans="3:3" x14ac:dyDescent="0.2">
      <c r="C106" s="5"/>
    </row>
    <row r="107" spans="3:3" x14ac:dyDescent="0.2">
      <c r="C107" s="5"/>
    </row>
    <row r="108" spans="3:3" x14ac:dyDescent="0.2">
      <c r="C108" s="5"/>
    </row>
    <row r="109" spans="3:3" x14ac:dyDescent="0.2">
      <c r="C109" s="5"/>
    </row>
    <row r="110" spans="3:3" x14ac:dyDescent="0.2">
      <c r="C110" s="5"/>
    </row>
    <row r="111" spans="3:3" x14ac:dyDescent="0.2">
      <c r="C111" s="5"/>
    </row>
    <row r="112" spans="3:3" x14ac:dyDescent="0.2">
      <c r="C112" s="5"/>
    </row>
    <row r="113" spans="3:3" x14ac:dyDescent="0.2">
      <c r="C113" s="5"/>
    </row>
    <row r="114" spans="3:3" x14ac:dyDescent="0.2">
      <c r="C114" s="5"/>
    </row>
    <row r="115" spans="3:3" x14ac:dyDescent="0.2">
      <c r="C115" s="5"/>
    </row>
    <row r="116" spans="3:3" x14ac:dyDescent="0.2">
      <c r="C116" s="5"/>
    </row>
    <row r="117" spans="3:3" x14ac:dyDescent="0.2">
      <c r="C117" s="5"/>
    </row>
  </sheetData>
  <pageMargins left="0.25" right="0.25" top="0.75" bottom="0.75" header="0.3" footer="0.3"/>
  <pageSetup paperSize="9" scale="83" fitToHeight="0" orientation="landscape" horizontalDpi="4294967292" verticalDpi="4294967292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7CB7C-F252-44D2-B88C-158B2E1FB296}">
  <sheetPr published="0">
    <pageSetUpPr fitToPage="1"/>
  </sheetPr>
  <dimension ref="A1:BE117"/>
  <sheetViews>
    <sheetView topLeftCell="N28" zoomScale="70" zoomScaleNormal="70" zoomScalePageLayoutView="85" workbookViewId="0">
      <selection activeCell="AF33" sqref="AF33:AF36"/>
    </sheetView>
  </sheetViews>
  <sheetFormatPr baseColWidth="10" defaultColWidth="11" defaultRowHeight="12.75" x14ac:dyDescent="0.2"/>
  <cols>
    <col min="1" max="1" width="11.25" bestFit="1" customWidth="1"/>
    <col min="2" max="2" width="9.75" customWidth="1"/>
    <col min="3" max="3" width="11.375" customWidth="1"/>
    <col min="4" max="4" width="8.25" customWidth="1"/>
    <col min="5" max="5" width="9.375" customWidth="1"/>
    <col min="6" max="6" width="11.25" customWidth="1"/>
    <col min="7" max="7" width="10.375" customWidth="1"/>
    <col min="8" max="8" width="9.375" customWidth="1"/>
    <col min="9" max="9" width="6.375" customWidth="1"/>
    <col min="10" max="10" width="8.375" customWidth="1"/>
    <col min="11" max="11" width="8.625" customWidth="1"/>
    <col min="12" max="12" width="7" customWidth="1"/>
    <col min="13" max="13" width="8.875" customWidth="1"/>
    <col min="14" max="14" width="8.25" customWidth="1"/>
    <col min="15" max="15" width="10.25" bestFit="1" customWidth="1"/>
    <col min="16" max="16" width="17.25" bestFit="1" customWidth="1"/>
    <col min="17" max="17" width="39.125" customWidth="1"/>
    <col min="18" max="18" width="11" style="2"/>
    <col min="19" max="19" width="8" customWidth="1"/>
    <col min="20" max="20" width="12.375" customWidth="1"/>
    <col min="21" max="21" width="2.625" customWidth="1"/>
    <col min="22" max="22" width="33.75" customWidth="1"/>
    <col min="23" max="23" width="9.375" style="2" customWidth="1"/>
    <col min="24" max="24" width="9.25" customWidth="1"/>
    <col min="25" max="25" width="15" bestFit="1" customWidth="1"/>
    <col min="26" max="26" width="10.375" customWidth="1"/>
    <col min="27" max="27" width="14.5" bestFit="1" customWidth="1"/>
    <col min="28" max="28" width="11.375" customWidth="1"/>
    <col min="29" max="29" width="11.25" bestFit="1" customWidth="1"/>
    <col min="30" max="30" width="8.75" customWidth="1"/>
    <col min="31" max="31" width="12.875" customWidth="1"/>
    <col min="32" max="32" width="13.875" bestFit="1" customWidth="1"/>
    <col min="33" max="33" width="12.375" customWidth="1"/>
    <col min="34" max="34" width="9.25" customWidth="1"/>
    <col min="35" max="35" width="16.75" bestFit="1" customWidth="1"/>
    <col min="36" max="36" width="9.5" bestFit="1" customWidth="1"/>
    <col min="37" max="37" width="9.875" customWidth="1"/>
    <col min="38" max="38" width="10.75" customWidth="1"/>
  </cols>
  <sheetData>
    <row r="1" spans="1:57" ht="19.5" thickBot="1" x14ac:dyDescent="0.35">
      <c r="A1" s="123">
        <v>44742</v>
      </c>
      <c r="B1" s="124"/>
      <c r="C1" s="125" t="s">
        <v>22</v>
      </c>
      <c r="D1" s="125"/>
      <c r="E1" s="125"/>
      <c r="F1" s="126"/>
      <c r="G1" s="127" t="s">
        <v>23</v>
      </c>
      <c r="H1" s="127"/>
      <c r="I1" s="127"/>
      <c r="J1" s="127"/>
      <c r="K1" s="127"/>
      <c r="L1" s="128"/>
      <c r="M1" s="129" t="s">
        <v>6</v>
      </c>
      <c r="N1" s="129"/>
      <c r="O1" s="129"/>
      <c r="P1" s="130" t="s">
        <v>19</v>
      </c>
      <c r="Q1" s="131" t="s">
        <v>11</v>
      </c>
      <c r="R1" s="132" t="s">
        <v>12</v>
      </c>
      <c r="S1" s="133" t="s">
        <v>0</v>
      </c>
      <c r="T1" s="134" t="s">
        <v>13</v>
      </c>
      <c r="U1" s="124"/>
      <c r="V1" s="124"/>
      <c r="W1" s="135"/>
      <c r="X1" s="24"/>
      <c r="Y1" s="136" t="s">
        <v>25</v>
      </c>
      <c r="Z1" s="137" t="s">
        <v>5</v>
      </c>
      <c r="AA1" s="138" t="s">
        <v>26</v>
      </c>
      <c r="AB1" s="138" t="s">
        <v>27</v>
      </c>
      <c r="AC1" s="139" t="s">
        <v>15</v>
      </c>
      <c r="AD1" s="139" t="s">
        <v>16</v>
      </c>
      <c r="AE1" s="139" t="s">
        <v>12</v>
      </c>
      <c r="AF1" s="138" t="s">
        <v>28</v>
      </c>
      <c r="AG1" s="138" t="s">
        <v>29</v>
      </c>
      <c r="AH1" s="140" t="s">
        <v>5</v>
      </c>
      <c r="AI1" s="141" t="s">
        <v>30</v>
      </c>
      <c r="AJ1" s="24"/>
      <c r="AK1" s="301"/>
      <c r="AL1" s="24"/>
      <c r="AM1" s="302"/>
      <c r="AN1" s="16"/>
    </row>
    <row r="2" spans="1:57" s="2" customFormat="1" ht="19.5" thickBot="1" x14ac:dyDescent="0.35">
      <c r="A2" s="142" t="s">
        <v>5</v>
      </c>
      <c r="B2" s="143" t="s">
        <v>20</v>
      </c>
      <c r="C2" s="144">
        <v>6</v>
      </c>
      <c r="D2" s="145">
        <v>12</v>
      </c>
      <c r="E2" s="144">
        <v>21</v>
      </c>
      <c r="F2" s="146" t="s">
        <v>0</v>
      </c>
      <c r="G2" s="147" t="s">
        <v>24</v>
      </c>
      <c r="H2" s="148" t="s">
        <v>1</v>
      </c>
      <c r="I2" s="147" t="s">
        <v>21</v>
      </c>
      <c r="J2" s="147" t="s">
        <v>81</v>
      </c>
      <c r="K2" s="149" t="s">
        <v>2</v>
      </c>
      <c r="L2" s="150" t="s">
        <v>8</v>
      </c>
      <c r="M2" s="151" t="s">
        <v>7</v>
      </c>
      <c r="N2" s="152" t="s">
        <v>4</v>
      </c>
      <c r="O2" s="153" t="s">
        <v>3</v>
      </c>
      <c r="P2" s="154">
        <f>'JUIN 2026'!P33</f>
        <v>268.89999999999998</v>
      </c>
      <c r="Q2" s="155"/>
      <c r="R2" s="156"/>
      <c r="S2" s="157"/>
      <c r="T2" s="158"/>
      <c r="U2" s="135"/>
      <c r="V2" s="159"/>
      <c r="W2" s="135"/>
      <c r="X2" s="24"/>
      <c r="Y2" s="160"/>
      <c r="Z2" s="161"/>
      <c r="AA2" s="24"/>
      <c r="AB2" s="162">
        <v>44742</v>
      </c>
      <c r="AC2" s="163"/>
      <c r="AD2" s="163"/>
      <c r="AE2" s="163"/>
      <c r="AF2" s="24"/>
      <c r="AG2" s="24"/>
      <c r="AH2" s="164"/>
      <c r="AI2" s="165"/>
      <c r="AJ2" s="24"/>
      <c r="AK2" s="163"/>
      <c r="AL2" s="24"/>
      <c r="AM2" s="302"/>
      <c r="AN2" s="16"/>
      <c r="AO2"/>
      <c r="AP2"/>
      <c r="AQ2" s="100"/>
      <c r="AR2" s="100"/>
      <c r="AS2" s="100"/>
      <c r="AT2" s="100"/>
      <c r="AU2" s="100"/>
      <c r="AV2" s="100"/>
      <c r="AW2" s="100"/>
      <c r="AX2"/>
      <c r="AZ2"/>
      <c r="BA2"/>
      <c r="BB2"/>
      <c r="BC2" s="20"/>
      <c r="BE2"/>
    </row>
    <row r="3" spans="1:57" ht="16.5" thickBot="1" x14ac:dyDescent="0.3">
      <c r="A3" s="166">
        <v>44742</v>
      </c>
      <c r="B3" s="167"/>
      <c r="C3" s="168"/>
      <c r="D3" s="168"/>
      <c r="E3" s="169"/>
      <c r="F3" s="170">
        <f>SUM(B3:E3)</f>
        <v>0</v>
      </c>
      <c r="G3" s="171">
        <f>F3</f>
        <v>0</v>
      </c>
      <c r="H3" s="168"/>
      <c r="I3" s="168"/>
      <c r="J3" s="169"/>
      <c r="K3" s="172">
        <f t="shared" ref="K3:K33" si="0">SUM(F3-H3-J3-I3)</f>
        <v>0</v>
      </c>
      <c r="L3" s="173">
        <f t="shared" ref="L3:L33" si="1">SUM(F3-H3-J3-I3)</f>
        <v>0</v>
      </c>
      <c r="M3" s="174"/>
      <c r="N3" s="175"/>
      <c r="O3" s="176">
        <f>SUM(L3-M3-N3+P2)</f>
        <v>268.89999999999998</v>
      </c>
      <c r="P3" s="177"/>
      <c r="Q3" s="178"/>
      <c r="R3" s="179"/>
      <c r="S3" s="180"/>
      <c r="T3" s="181"/>
      <c r="U3" s="124"/>
      <c r="V3" s="124"/>
      <c r="W3" s="135"/>
      <c r="X3" s="182">
        <v>1</v>
      </c>
      <c r="Y3" s="183"/>
      <c r="Z3" s="184"/>
      <c r="AA3" s="185"/>
      <c r="AB3" s="185"/>
      <c r="AC3" s="186"/>
      <c r="AD3" s="186"/>
      <c r="AE3" s="187">
        <f t="shared" ref="AE3:AE29" si="2">SUM(AC3:AD3)</f>
        <v>0</v>
      </c>
      <c r="AF3" s="185"/>
      <c r="AG3" s="185"/>
      <c r="AH3" s="188"/>
      <c r="AI3" s="189"/>
      <c r="AJ3" s="187">
        <v>0</v>
      </c>
      <c r="AK3" s="23"/>
      <c r="AL3" s="24"/>
      <c r="AM3" s="302"/>
      <c r="AN3" s="24"/>
      <c r="AQ3" s="100"/>
      <c r="AR3" s="59"/>
      <c r="AS3" s="59"/>
      <c r="AT3" s="59"/>
      <c r="AU3" s="59"/>
      <c r="AV3" s="59"/>
      <c r="AW3" s="100"/>
      <c r="AY3" s="2"/>
      <c r="AZ3" s="2"/>
      <c r="BA3" s="2"/>
      <c r="BB3" s="2"/>
      <c r="BC3" s="20"/>
      <c r="BD3" s="2"/>
    </row>
    <row r="4" spans="1:57" ht="16.5" thickBot="1" x14ac:dyDescent="0.3">
      <c r="A4" s="166">
        <v>44743</v>
      </c>
      <c r="B4" s="190"/>
      <c r="C4" s="179"/>
      <c r="D4" s="179"/>
      <c r="E4" s="175"/>
      <c r="F4" s="170">
        <f t="shared" ref="F4:F33" si="3">SUM(B4:E4)</f>
        <v>0</v>
      </c>
      <c r="G4" s="171">
        <f t="shared" ref="G4:G33" si="4">F4</f>
        <v>0</v>
      </c>
      <c r="H4" s="179"/>
      <c r="I4" s="191"/>
      <c r="J4" s="175"/>
      <c r="K4" s="192">
        <f t="shared" si="0"/>
        <v>0</v>
      </c>
      <c r="L4" s="193">
        <f t="shared" si="1"/>
        <v>0</v>
      </c>
      <c r="M4" s="174"/>
      <c r="N4" s="194"/>
      <c r="O4" s="195">
        <f>SUM(L4-M4-N4+O3+P4)</f>
        <v>268.89999999999998</v>
      </c>
      <c r="P4" s="196"/>
      <c r="Q4" s="197"/>
      <c r="R4" s="179"/>
      <c r="S4" s="198"/>
      <c r="T4" s="199"/>
      <c r="U4" s="124"/>
      <c r="V4" s="124"/>
      <c r="W4" s="135"/>
      <c r="X4" s="182">
        <v>2</v>
      </c>
      <c r="Y4" s="200"/>
      <c r="Z4" s="201"/>
      <c r="AA4" s="182"/>
      <c r="AB4" s="182"/>
      <c r="AC4" s="108"/>
      <c r="AD4" s="108"/>
      <c r="AE4" s="108">
        <f t="shared" si="2"/>
        <v>0</v>
      </c>
      <c r="AF4" s="182"/>
      <c r="AG4" s="182"/>
      <c r="AH4" s="202"/>
      <c r="AI4" s="203"/>
      <c r="AJ4" s="108">
        <f>AE4</f>
        <v>0</v>
      </c>
      <c r="AK4" s="25"/>
      <c r="AL4" s="124"/>
      <c r="AM4" s="124"/>
      <c r="AN4" s="28"/>
      <c r="AQ4" s="100"/>
      <c r="AR4" s="70"/>
      <c r="AS4" s="71"/>
      <c r="AT4" s="71"/>
      <c r="AU4" s="71"/>
      <c r="AV4" s="59"/>
      <c r="AW4" s="100"/>
      <c r="AY4" s="2"/>
      <c r="AZ4" s="2"/>
      <c r="BA4" s="12"/>
      <c r="BB4" s="2"/>
    </row>
    <row r="5" spans="1:57" ht="16.5" thickBot="1" x14ac:dyDescent="0.3">
      <c r="A5" s="166">
        <v>44744</v>
      </c>
      <c r="B5" s="190"/>
      <c r="C5" s="179"/>
      <c r="D5" s="179"/>
      <c r="E5" s="175"/>
      <c r="F5" s="170">
        <f t="shared" si="3"/>
        <v>0</v>
      </c>
      <c r="G5" s="171">
        <f t="shared" si="4"/>
        <v>0</v>
      </c>
      <c r="H5" s="179"/>
      <c r="I5" s="191"/>
      <c r="J5" s="175"/>
      <c r="K5" s="192">
        <f t="shared" si="0"/>
        <v>0</v>
      </c>
      <c r="L5" s="193">
        <f t="shared" si="1"/>
        <v>0</v>
      </c>
      <c r="M5" s="174"/>
      <c r="N5" s="194"/>
      <c r="O5" s="195">
        <f>SUM(L5-M5-N5+O4+P5)</f>
        <v>268.89999999999998</v>
      </c>
      <c r="P5" s="196"/>
      <c r="Q5" s="178"/>
      <c r="R5" s="179"/>
      <c r="S5" s="180"/>
      <c r="T5" s="181"/>
      <c r="U5" s="124"/>
      <c r="V5" s="124"/>
      <c r="W5" s="135"/>
      <c r="X5" s="182">
        <v>3</v>
      </c>
      <c r="Y5" s="204"/>
      <c r="Z5" s="205"/>
      <c r="AA5" s="206"/>
      <c r="AB5" s="206"/>
      <c r="AC5" s="186"/>
      <c r="AD5" s="186"/>
      <c r="AE5" s="187">
        <f t="shared" si="2"/>
        <v>0</v>
      </c>
      <c r="AF5" s="206"/>
      <c r="AG5" s="206"/>
      <c r="AH5" s="188"/>
      <c r="AI5" s="189"/>
      <c r="AJ5" s="187">
        <v>0</v>
      </c>
      <c r="AK5" s="25"/>
      <c r="AL5" s="124"/>
      <c r="AM5" s="124"/>
      <c r="AN5" s="32"/>
      <c r="AQ5" s="100"/>
      <c r="AR5" s="70"/>
      <c r="AS5" s="71"/>
      <c r="AT5" s="71"/>
      <c r="AU5" s="71"/>
      <c r="AV5" s="59"/>
      <c r="AW5" s="100"/>
      <c r="AY5" s="12"/>
      <c r="AZ5" s="2"/>
      <c r="BA5" s="12"/>
      <c r="BB5" s="2"/>
    </row>
    <row r="6" spans="1:57" ht="19.5" thickBot="1" x14ac:dyDescent="0.35">
      <c r="A6" s="166">
        <v>44745</v>
      </c>
      <c r="B6" s="190"/>
      <c r="C6" s="179"/>
      <c r="D6" s="179"/>
      <c r="E6" s="175"/>
      <c r="F6" s="170">
        <f t="shared" si="3"/>
        <v>0</v>
      </c>
      <c r="G6" s="171">
        <f t="shared" si="4"/>
        <v>0</v>
      </c>
      <c r="H6" s="179"/>
      <c r="I6" s="191"/>
      <c r="J6" s="175"/>
      <c r="K6" s="192">
        <f t="shared" si="0"/>
        <v>0</v>
      </c>
      <c r="L6" s="193">
        <f t="shared" si="1"/>
        <v>0</v>
      </c>
      <c r="M6" s="174"/>
      <c r="N6" s="194"/>
      <c r="O6" s="195">
        <f>SUM(L6-M6-N6+O5+P6)</f>
        <v>268.89999999999998</v>
      </c>
      <c r="P6" s="196"/>
      <c r="Q6" s="178"/>
      <c r="R6" s="179"/>
      <c r="S6" s="198"/>
      <c r="T6" s="199"/>
      <c r="U6" s="124"/>
      <c r="V6" s="124"/>
      <c r="W6" s="135"/>
      <c r="X6" s="182">
        <v>4</v>
      </c>
      <c r="Y6" s="183"/>
      <c r="Z6" s="184"/>
      <c r="AA6" s="185"/>
      <c r="AB6" s="207"/>
      <c r="AC6" s="186"/>
      <c r="AD6" s="186"/>
      <c r="AE6" s="187">
        <f t="shared" si="2"/>
        <v>0</v>
      </c>
      <c r="AF6" s="185"/>
      <c r="AG6" s="185"/>
      <c r="AH6" s="188"/>
      <c r="AI6" s="189"/>
      <c r="AJ6" s="187">
        <v>0</v>
      </c>
      <c r="AK6" s="301"/>
      <c r="AL6" s="124"/>
      <c r="AM6" s="124"/>
      <c r="AN6" s="34"/>
      <c r="AQ6" s="100"/>
      <c r="AR6" s="70"/>
      <c r="AS6" s="71"/>
      <c r="AT6" s="71"/>
      <c r="AU6" s="71"/>
      <c r="AV6" s="59"/>
      <c r="AW6" s="100"/>
      <c r="AY6" s="12"/>
      <c r="AZ6" s="2"/>
      <c r="BA6" s="12"/>
      <c r="BB6" s="2"/>
    </row>
    <row r="7" spans="1:57" ht="16.5" thickBot="1" x14ac:dyDescent="0.3">
      <c r="A7" s="166">
        <v>44746</v>
      </c>
      <c r="B7" s="190"/>
      <c r="C7" s="179"/>
      <c r="D7" s="179"/>
      <c r="E7" s="175"/>
      <c r="F7" s="170">
        <f t="shared" si="3"/>
        <v>0</v>
      </c>
      <c r="G7" s="171">
        <f t="shared" si="4"/>
        <v>0</v>
      </c>
      <c r="H7" s="179"/>
      <c r="I7" s="191"/>
      <c r="J7" s="175"/>
      <c r="K7" s="192">
        <f t="shared" si="0"/>
        <v>0</v>
      </c>
      <c r="L7" s="193">
        <f t="shared" si="1"/>
        <v>0</v>
      </c>
      <c r="M7" s="174"/>
      <c r="N7" s="194"/>
      <c r="O7" s="195">
        <f>SUM(L7-M7-N7+O6+P7)</f>
        <v>268.89999999999998</v>
      </c>
      <c r="P7" s="196"/>
      <c r="Q7" s="178"/>
      <c r="R7" s="179"/>
      <c r="S7" s="180"/>
      <c r="T7" s="199"/>
      <c r="U7" s="124"/>
      <c r="V7" s="124"/>
      <c r="W7" s="135"/>
      <c r="X7" s="182">
        <v>5</v>
      </c>
      <c r="Y7" s="200"/>
      <c r="Z7" s="201"/>
      <c r="AA7" s="182"/>
      <c r="AB7" s="182"/>
      <c r="AC7" s="108"/>
      <c r="AD7" s="108"/>
      <c r="AE7" s="108">
        <f t="shared" si="2"/>
        <v>0</v>
      </c>
      <c r="AF7" s="182"/>
      <c r="AG7" s="208"/>
      <c r="AH7" s="202"/>
      <c r="AI7" s="203"/>
      <c r="AJ7" s="108">
        <v>0</v>
      </c>
      <c r="AK7" s="23"/>
      <c r="AL7" s="124"/>
      <c r="AM7" s="124"/>
      <c r="AN7" s="24"/>
      <c r="AQ7" s="100"/>
      <c r="AR7" s="70"/>
      <c r="AS7" s="59"/>
      <c r="AT7" s="59"/>
      <c r="AU7" s="71"/>
      <c r="AV7" s="59"/>
      <c r="AW7" s="100"/>
      <c r="AY7" s="2"/>
      <c r="AZ7" s="2"/>
      <c r="BA7" s="12"/>
      <c r="BB7" s="2"/>
    </row>
    <row r="8" spans="1:57" ht="19.5" thickBot="1" x14ac:dyDescent="0.35">
      <c r="A8" s="166">
        <v>44747</v>
      </c>
      <c r="B8" s="190"/>
      <c r="C8" s="179"/>
      <c r="D8" s="179"/>
      <c r="E8" s="175"/>
      <c r="F8" s="170">
        <f t="shared" si="3"/>
        <v>0</v>
      </c>
      <c r="G8" s="171">
        <f t="shared" si="4"/>
        <v>0</v>
      </c>
      <c r="H8" s="179"/>
      <c r="I8" s="191"/>
      <c r="J8" s="175"/>
      <c r="K8" s="192">
        <f t="shared" si="0"/>
        <v>0</v>
      </c>
      <c r="L8" s="193">
        <f t="shared" si="1"/>
        <v>0</v>
      </c>
      <c r="M8" s="209"/>
      <c r="N8" s="194"/>
      <c r="O8" s="195">
        <f>SUM(L8-M8-N8+O7+P8)</f>
        <v>268.89999999999998</v>
      </c>
      <c r="P8" s="196"/>
      <c r="Q8" s="178"/>
      <c r="R8" s="179"/>
      <c r="S8" s="180"/>
      <c r="T8" s="199"/>
      <c r="U8" s="124"/>
      <c r="V8" s="124"/>
      <c r="W8" s="135"/>
      <c r="X8" s="182">
        <v>6</v>
      </c>
      <c r="Y8" s="183"/>
      <c r="Z8" s="184"/>
      <c r="AA8" s="185"/>
      <c r="AB8" s="185"/>
      <c r="AC8" s="186"/>
      <c r="AD8" s="186"/>
      <c r="AE8" s="187">
        <f t="shared" si="2"/>
        <v>0</v>
      </c>
      <c r="AF8" s="206"/>
      <c r="AG8" s="185"/>
      <c r="AH8" s="188"/>
      <c r="AI8" s="189"/>
      <c r="AJ8" s="187">
        <v>0</v>
      </c>
      <c r="AK8" s="163"/>
      <c r="AL8" s="124"/>
      <c r="AM8" s="124"/>
      <c r="AN8" s="34"/>
      <c r="AQ8" s="100"/>
      <c r="AR8" s="59"/>
      <c r="AS8" s="71"/>
      <c r="AT8" s="71"/>
      <c r="AU8" s="71"/>
      <c r="AV8" s="59"/>
      <c r="AW8" s="100"/>
      <c r="AY8" s="2"/>
      <c r="AZ8" s="2"/>
      <c r="BA8" s="2"/>
      <c r="BB8" s="2"/>
    </row>
    <row r="9" spans="1:57" ht="16.5" thickBot="1" x14ac:dyDescent="0.3">
      <c r="A9" s="166">
        <v>44748</v>
      </c>
      <c r="B9" s="190"/>
      <c r="C9" s="179"/>
      <c r="D9" s="179"/>
      <c r="E9" s="175"/>
      <c r="F9" s="170">
        <f t="shared" si="3"/>
        <v>0</v>
      </c>
      <c r="G9" s="171">
        <f t="shared" si="4"/>
        <v>0</v>
      </c>
      <c r="H9" s="179"/>
      <c r="I9" s="191"/>
      <c r="J9" s="175"/>
      <c r="K9" s="192">
        <f t="shared" si="0"/>
        <v>0</v>
      </c>
      <c r="L9" s="193">
        <f t="shared" si="1"/>
        <v>0</v>
      </c>
      <c r="M9" s="174"/>
      <c r="N9" s="194"/>
      <c r="O9" s="195">
        <f t="shared" ref="O9:O33" si="5">SUM(L9-M9-N9+O8)</f>
        <v>268.89999999999998</v>
      </c>
      <c r="P9" s="196"/>
      <c r="Q9" s="178"/>
      <c r="R9" s="179"/>
      <c r="S9" s="180"/>
      <c r="T9" s="199"/>
      <c r="U9" s="124"/>
      <c r="V9" s="124"/>
      <c r="W9" s="135"/>
      <c r="X9" s="182">
        <v>7</v>
      </c>
      <c r="Y9" s="200"/>
      <c r="Z9" s="201"/>
      <c r="AA9" s="182"/>
      <c r="AB9" s="182"/>
      <c r="AC9" s="210"/>
      <c r="AD9" s="210"/>
      <c r="AE9" s="108">
        <f t="shared" si="2"/>
        <v>0</v>
      </c>
      <c r="AF9" s="182"/>
      <c r="AG9" s="182"/>
      <c r="AH9" s="202"/>
      <c r="AI9" s="203"/>
      <c r="AJ9" s="108">
        <f>AE9</f>
        <v>0</v>
      </c>
      <c r="AK9" s="163"/>
      <c r="AL9" s="124"/>
      <c r="AM9" s="124"/>
      <c r="AN9" s="24"/>
      <c r="AQ9" s="100"/>
      <c r="AR9" s="70"/>
      <c r="AS9" s="59"/>
      <c r="AT9" s="59"/>
      <c r="AU9" s="59"/>
      <c r="AV9" s="59"/>
      <c r="AW9" s="100"/>
      <c r="AY9" s="2"/>
      <c r="AZ9" s="2"/>
      <c r="BA9" s="2"/>
      <c r="BB9" s="2"/>
    </row>
    <row r="10" spans="1:57" ht="19.5" thickBot="1" x14ac:dyDescent="0.35">
      <c r="A10" s="166">
        <v>44749</v>
      </c>
      <c r="B10" s="190"/>
      <c r="C10" s="179"/>
      <c r="D10" s="179"/>
      <c r="E10" s="175"/>
      <c r="F10" s="170">
        <f t="shared" si="3"/>
        <v>0</v>
      </c>
      <c r="G10" s="171">
        <f t="shared" si="4"/>
        <v>0</v>
      </c>
      <c r="H10" s="179"/>
      <c r="I10" s="191"/>
      <c r="J10" s="175"/>
      <c r="K10" s="192">
        <f t="shared" si="0"/>
        <v>0</v>
      </c>
      <c r="L10" s="193">
        <f t="shared" si="1"/>
        <v>0</v>
      </c>
      <c r="M10" s="174"/>
      <c r="N10" s="194"/>
      <c r="O10" s="195">
        <f t="shared" si="5"/>
        <v>268.89999999999998</v>
      </c>
      <c r="P10" s="196"/>
      <c r="Q10" s="178"/>
      <c r="R10" s="179"/>
      <c r="S10" s="180"/>
      <c r="T10" s="199"/>
      <c r="U10" s="124"/>
      <c r="V10" s="124"/>
      <c r="W10" s="135"/>
      <c r="X10" s="182">
        <v>8</v>
      </c>
      <c r="Y10" s="200"/>
      <c r="Z10" s="201"/>
      <c r="AA10" s="182"/>
      <c r="AB10" s="182"/>
      <c r="AC10" s="210"/>
      <c r="AD10" s="210"/>
      <c r="AE10" s="108">
        <f t="shared" si="2"/>
        <v>0</v>
      </c>
      <c r="AF10" s="182"/>
      <c r="AG10" s="182"/>
      <c r="AH10" s="202"/>
      <c r="AI10" s="203"/>
      <c r="AJ10" s="108">
        <f t="shared" ref="AJ10:AJ29" si="6">AE10</f>
        <v>0</v>
      </c>
      <c r="AK10" s="163"/>
      <c r="AL10" s="124"/>
      <c r="AM10" s="124"/>
      <c r="AN10" s="22"/>
      <c r="AQ10" s="100"/>
      <c r="AR10" s="59"/>
      <c r="AS10" s="59"/>
      <c r="AT10" s="59"/>
      <c r="AU10" s="59"/>
      <c r="AV10" s="59"/>
      <c r="AW10" s="100"/>
      <c r="AY10" s="2"/>
      <c r="AZ10" s="2"/>
      <c r="BA10" s="2"/>
      <c r="BB10" s="2"/>
    </row>
    <row r="11" spans="1:57" ht="19.5" thickBot="1" x14ac:dyDescent="0.35">
      <c r="A11" s="166">
        <v>44750</v>
      </c>
      <c r="B11" s="190"/>
      <c r="C11" s="179"/>
      <c r="D11" s="179"/>
      <c r="E11" s="175"/>
      <c r="F11" s="170">
        <f t="shared" si="3"/>
        <v>0</v>
      </c>
      <c r="G11" s="171">
        <f t="shared" si="4"/>
        <v>0</v>
      </c>
      <c r="H11" s="179"/>
      <c r="I11" s="191"/>
      <c r="J11" s="175"/>
      <c r="K11" s="192">
        <f t="shared" si="0"/>
        <v>0</v>
      </c>
      <c r="L11" s="193">
        <f t="shared" si="1"/>
        <v>0</v>
      </c>
      <c r="M11" s="174"/>
      <c r="N11" s="194"/>
      <c r="O11" s="195">
        <f t="shared" si="5"/>
        <v>268.89999999999998</v>
      </c>
      <c r="P11" s="196"/>
      <c r="Q11" s="211"/>
      <c r="R11" s="212"/>
      <c r="S11" s="198"/>
      <c r="T11" s="213"/>
      <c r="U11" s="124"/>
      <c r="V11" s="124"/>
      <c r="W11" s="135"/>
      <c r="X11" s="182">
        <v>9</v>
      </c>
      <c r="Y11" s="200"/>
      <c r="Z11" s="201"/>
      <c r="AA11" s="182"/>
      <c r="AB11" s="182"/>
      <c r="AC11" s="108"/>
      <c r="AD11" s="108"/>
      <c r="AE11" s="108">
        <f t="shared" si="2"/>
        <v>0</v>
      </c>
      <c r="AF11" s="182"/>
      <c r="AG11" s="182"/>
      <c r="AH11" s="202"/>
      <c r="AI11" s="203"/>
      <c r="AJ11" s="108">
        <f t="shared" si="6"/>
        <v>0</v>
      </c>
      <c r="AK11" s="163"/>
      <c r="AL11" s="124"/>
      <c r="AM11" s="124"/>
      <c r="AN11" s="22"/>
      <c r="AQ11" s="100"/>
      <c r="AR11" s="59"/>
      <c r="AS11" s="59"/>
      <c r="AT11" s="59"/>
      <c r="AU11" s="59"/>
      <c r="AV11" s="75"/>
      <c r="AW11" s="100"/>
      <c r="AY11" s="2"/>
      <c r="AZ11" s="2"/>
      <c r="BA11" s="2"/>
      <c r="BB11" s="2"/>
    </row>
    <row r="12" spans="1:57" ht="19.5" thickBot="1" x14ac:dyDescent="0.35">
      <c r="A12" s="166">
        <v>44751</v>
      </c>
      <c r="B12" s="190"/>
      <c r="C12" s="179"/>
      <c r="D12" s="179"/>
      <c r="E12" s="175"/>
      <c r="F12" s="170">
        <f t="shared" si="3"/>
        <v>0</v>
      </c>
      <c r="G12" s="171">
        <f t="shared" si="4"/>
        <v>0</v>
      </c>
      <c r="H12" s="179"/>
      <c r="I12" s="191"/>
      <c r="J12" s="175"/>
      <c r="K12" s="192">
        <f t="shared" si="0"/>
        <v>0</v>
      </c>
      <c r="L12" s="193">
        <f t="shared" si="1"/>
        <v>0</v>
      </c>
      <c r="M12" s="214"/>
      <c r="N12" s="194"/>
      <c r="O12" s="195">
        <f t="shared" si="5"/>
        <v>268.89999999999998</v>
      </c>
      <c r="P12" s="196"/>
      <c r="Q12" s="211"/>
      <c r="R12" s="212"/>
      <c r="S12" s="198"/>
      <c r="T12" s="213"/>
      <c r="U12" s="124"/>
      <c r="V12" s="124"/>
      <c r="W12" s="135"/>
      <c r="X12" s="182">
        <v>10</v>
      </c>
      <c r="Y12" s="200"/>
      <c r="Z12" s="201"/>
      <c r="AA12" s="182"/>
      <c r="AB12" s="182"/>
      <c r="AC12" s="108"/>
      <c r="AD12" s="108"/>
      <c r="AE12" s="108">
        <f t="shared" si="2"/>
        <v>0</v>
      </c>
      <c r="AF12" s="182"/>
      <c r="AG12" s="182"/>
      <c r="AH12" s="202"/>
      <c r="AI12" s="203"/>
      <c r="AJ12" s="108">
        <f t="shared" si="6"/>
        <v>0</v>
      </c>
      <c r="AK12" s="163"/>
      <c r="AL12" s="124"/>
      <c r="AM12" s="124"/>
      <c r="AN12" s="22"/>
      <c r="AQ12" s="100"/>
      <c r="AR12" s="75"/>
      <c r="AS12" s="59"/>
      <c r="AT12" s="59"/>
      <c r="AU12" s="59"/>
      <c r="AV12" s="75"/>
      <c r="AW12" s="100"/>
      <c r="AY12" s="2"/>
      <c r="AZ12" s="2"/>
      <c r="BA12" s="2"/>
      <c r="BB12" s="2"/>
    </row>
    <row r="13" spans="1:57" ht="19.5" thickBot="1" x14ac:dyDescent="0.35">
      <c r="A13" s="166">
        <v>44752</v>
      </c>
      <c r="B13" s="190"/>
      <c r="C13" s="179"/>
      <c r="D13" s="179"/>
      <c r="E13" s="175"/>
      <c r="F13" s="170">
        <f t="shared" si="3"/>
        <v>0</v>
      </c>
      <c r="G13" s="171">
        <f t="shared" si="4"/>
        <v>0</v>
      </c>
      <c r="H13" s="179"/>
      <c r="I13" s="191"/>
      <c r="J13" s="175"/>
      <c r="K13" s="192">
        <f t="shared" si="0"/>
        <v>0</v>
      </c>
      <c r="L13" s="193">
        <f t="shared" si="1"/>
        <v>0</v>
      </c>
      <c r="M13" s="174"/>
      <c r="N13" s="194"/>
      <c r="O13" s="195">
        <f t="shared" si="5"/>
        <v>268.89999999999998</v>
      </c>
      <c r="P13" s="196"/>
      <c r="Q13" s="215"/>
      <c r="R13" s="212"/>
      <c r="S13" s="198"/>
      <c r="T13" s="199"/>
      <c r="U13" s="124"/>
      <c r="V13" s="124"/>
      <c r="W13" s="135"/>
      <c r="X13" s="182">
        <v>11</v>
      </c>
      <c r="Y13" s="200"/>
      <c r="Z13" s="201"/>
      <c r="AA13" s="182"/>
      <c r="AB13" s="182"/>
      <c r="AC13" s="108"/>
      <c r="AD13" s="108"/>
      <c r="AE13" s="108">
        <f t="shared" si="2"/>
        <v>0</v>
      </c>
      <c r="AF13" s="182"/>
      <c r="AG13" s="216"/>
      <c r="AH13" s="202"/>
      <c r="AI13" s="203"/>
      <c r="AJ13" s="108">
        <f t="shared" si="6"/>
        <v>0</v>
      </c>
      <c r="AK13" s="301"/>
      <c r="AL13" s="124"/>
      <c r="AM13" s="124"/>
      <c r="AN13" s="16"/>
      <c r="AQ13" s="100"/>
      <c r="AR13" s="75"/>
      <c r="AS13" s="59"/>
      <c r="AT13" s="59"/>
      <c r="AU13" s="59"/>
      <c r="AV13" s="75"/>
      <c r="AW13" s="100"/>
    </row>
    <row r="14" spans="1:57" ht="19.5" thickBot="1" x14ac:dyDescent="0.35">
      <c r="A14" s="166">
        <v>44753</v>
      </c>
      <c r="B14" s="190"/>
      <c r="C14" s="179"/>
      <c r="D14" s="179"/>
      <c r="E14" s="175"/>
      <c r="F14" s="170">
        <f t="shared" si="3"/>
        <v>0</v>
      </c>
      <c r="G14" s="171">
        <f t="shared" si="4"/>
        <v>0</v>
      </c>
      <c r="H14" s="179"/>
      <c r="I14" s="191"/>
      <c r="J14" s="175"/>
      <c r="K14" s="192">
        <f t="shared" si="0"/>
        <v>0</v>
      </c>
      <c r="L14" s="193">
        <f t="shared" si="1"/>
        <v>0</v>
      </c>
      <c r="M14" s="174"/>
      <c r="N14" s="194"/>
      <c r="O14" s="195">
        <f t="shared" si="5"/>
        <v>268.89999999999998</v>
      </c>
      <c r="P14" s="196"/>
      <c r="Q14" s="215"/>
      <c r="R14" s="212"/>
      <c r="S14" s="198"/>
      <c r="T14" s="199"/>
      <c r="U14" s="124"/>
      <c r="V14" s="124"/>
      <c r="W14" s="135"/>
      <c r="X14" s="182">
        <v>12</v>
      </c>
      <c r="Y14" s="217"/>
      <c r="Z14" s="201"/>
      <c r="AA14" s="182"/>
      <c r="AB14" s="182"/>
      <c r="AC14" s="210"/>
      <c r="AD14" s="210"/>
      <c r="AE14" s="108">
        <f t="shared" si="2"/>
        <v>0</v>
      </c>
      <c r="AF14" s="182"/>
      <c r="AG14" s="216"/>
      <c r="AH14" s="202"/>
      <c r="AI14" s="203"/>
      <c r="AJ14" s="108">
        <f t="shared" si="6"/>
        <v>0</v>
      </c>
      <c r="AK14" s="301"/>
      <c r="AL14" s="124"/>
      <c r="AM14" s="124"/>
      <c r="AN14" s="16"/>
      <c r="AO14" s="4"/>
      <c r="AQ14" s="100"/>
      <c r="AR14" s="59"/>
      <c r="AS14" s="59"/>
      <c r="AT14" s="59"/>
      <c r="AU14" s="59"/>
      <c r="AV14" s="75"/>
      <c r="AW14" s="100"/>
    </row>
    <row r="15" spans="1:57" ht="19.5" thickBot="1" x14ac:dyDescent="0.35">
      <c r="A15" s="166">
        <v>44754</v>
      </c>
      <c r="B15" s="190"/>
      <c r="C15" s="179"/>
      <c r="D15" s="179"/>
      <c r="E15" s="175"/>
      <c r="F15" s="170">
        <f t="shared" si="3"/>
        <v>0</v>
      </c>
      <c r="G15" s="171">
        <f t="shared" si="4"/>
        <v>0</v>
      </c>
      <c r="H15" s="179"/>
      <c r="I15" s="191"/>
      <c r="J15" s="175"/>
      <c r="K15" s="192">
        <f t="shared" si="0"/>
        <v>0</v>
      </c>
      <c r="L15" s="193">
        <f t="shared" si="1"/>
        <v>0</v>
      </c>
      <c r="M15" s="174"/>
      <c r="N15" s="194"/>
      <c r="O15" s="195">
        <f t="shared" si="5"/>
        <v>268.89999999999998</v>
      </c>
      <c r="P15" s="196"/>
      <c r="Q15" s="218"/>
      <c r="R15" s="179"/>
      <c r="S15" s="180"/>
      <c r="T15" s="199"/>
      <c r="U15" s="124"/>
      <c r="V15" s="124"/>
      <c r="W15" s="135"/>
      <c r="X15" s="182">
        <v>13</v>
      </c>
      <c r="Y15" s="200"/>
      <c r="Z15" s="201"/>
      <c r="AA15" s="182"/>
      <c r="AB15" s="182"/>
      <c r="AC15" s="210"/>
      <c r="AD15" s="210"/>
      <c r="AE15" s="108">
        <f t="shared" si="2"/>
        <v>0</v>
      </c>
      <c r="AF15" s="182"/>
      <c r="AG15" s="182"/>
      <c r="AH15" s="202"/>
      <c r="AI15" s="203"/>
      <c r="AJ15" s="108">
        <f t="shared" si="6"/>
        <v>0</v>
      </c>
      <c r="AK15" s="301"/>
      <c r="AL15" s="124"/>
      <c r="AM15" s="124"/>
      <c r="AN15" s="16"/>
      <c r="AQ15" s="100"/>
      <c r="AR15" s="59"/>
      <c r="AS15" s="59"/>
      <c r="AT15" s="59"/>
      <c r="AU15" s="59"/>
      <c r="AV15" s="75"/>
      <c r="AW15" s="100"/>
    </row>
    <row r="16" spans="1:57" ht="19.5" thickBot="1" x14ac:dyDescent="0.35">
      <c r="A16" s="166">
        <v>44755</v>
      </c>
      <c r="B16" s="190"/>
      <c r="C16" s="179"/>
      <c r="D16" s="179"/>
      <c r="E16" s="175"/>
      <c r="F16" s="170">
        <f t="shared" si="3"/>
        <v>0</v>
      </c>
      <c r="G16" s="171">
        <f t="shared" si="4"/>
        <v>0</v>
      </c>
      <c r="H16" s="179"/>
      <c r="I16" s="191"/>
      <c r="J16" s="175"/>
      <c r="K16" s="192">
        <f t="shared" si="0"/>
        <v>0</v>
      </c>
      <c r="L16" s="193">
        <f t="shared" si="1"/>
        <v>0</v>
      </c>
      <c r="M16" s="209"/>
      <c r="N16" s="194"/>
      <c r="O16" s="195">
        <f t="shared" si="5"/>
        <v>268.89999999999998</v>
      </c>
      <c r="P16" s="196"/>
      <c r="Q16" s="219"/>
      <c r="R16" s="179"/>
      <c r="S16" s="180"/>
      <c r="T16" s="199"/>
      <c r="U16" s="124"/>
      <c r="V16" s="124"/>
      <c r="W16" s="135"/>
      <c r="X16" s="182">
        <v>14</v>
      </c>
      <c r="Y16" s="200"/>
      <c r="Z16" s="201"/>
      <c r="AA16" s="182"/>
      <c r="AB16" s="182"/>
      <c r="AC16" s="210"/>
      <c r="AD16" s="210"/>
      <c r="AE16" s="108">
        <f t="shared" si="2"/>
        <v>0</v>
      </c>
      <c r="AF16" s="182"/>
      <c r="AG16" s="182"/>
      <c r="AH16" s="202"/>
      <c r="AI16" s="203"/>
      <c r="AJ16" s="108">
        <f t="shared" si="6"/>
        <v>0</v>
      </c>
      <c r="AK16" s="301"/>
      <c r="AL16" s="124"/>
      <c r="AM16" s="124"/>
      <c r="AN16" s="16"/>
      <c r="AQ16" s="100"/>
      <c r="AR16" s="59"/>
      <c r="AS16" s="59"/>
      <c r="AT16" s="59"/>
      <c r="AU16" s="59"/>
      <c r="AV16" s="75"/>
      <c r="AW16" s="100"/>
    </row>
    <row r="17" spans="1:54" ht="19.5" thickBot="1" x14ac:dyDescent="0.35">
      <c r="A17" s="166">
        <v>44756</v>
      </c>
      <c r="B17" s="190"/>
      <c r="C17" s="179"/>
      <c r="D17" s="179"/>
      <c r="E17" s="175"/>
      <c r="F17" s="170">
        <f t="shared" si="3"/>
        <v>0</v>
      </c>
      <c r="G17" s="171">
        <f t="shared" si="4"/>
        <v>0</v>
      </c>
      <c r="H17" s="179"/>
      <c r="I17" s="191"/>
      <c r="J17" s="175"/>
      <c r="K17" s="192">
        <f t="shared" si="0"/>
        <v>0</v>
      </c>
      <c r="L17" s="193">
        <f t="shared" si="1"/>
        <v>0</v>
      </c>
      <c r="M17" s="209"/>
      <c r="N17" s="194"/>
      <c r="O17" s="195">
        <f>SUM(L17-M17-N17+O16+P17)</f>
        <v>268.89999999999998</v>
      </c>
      <c r="P17" s="196"/>
      <c r="Q17" s="218"/>
      <c r="R17" s="179"/>
      <c r="S17" s="180"/>
      <c r="T17" s="199"/>
      <c r="U17" s="124"/>
      <c r="V17" s="124"/>
      <c r="W17" s="135"/>
      <c r="X17" s="182">
        <v>15</v>
      </c>
      <c r="Y17" s="200"/>
      <c r="Z17" s="201"/>
      <c r="AA17" s="182"/>
      <c r="AB17" s="182"/>
      <c r="AC17" s="210"/>
      <c r="AD17" s="210"/>
      <c r="AE17" s="108">
        <f t="shared" si="2"/>
        <v>0</v>
      </c>
      <c r="AF17" s="182"/>
      <c r="AG17" s="216"/>
      <c r="AH17" s="202"/>
      <c r="AI17" s="203"/>
      <c r="AJ17" s="108">
        <f t="shared" si="6"/>
        <v>0</v>
      </c>
      <c r="AK17" s="301"/>
      <c r="AL17" s="124"/>
      <c r="AM17" s="124"/>
      <c r="AN17" s="16"/>
      <c r="AQ17" s="100"/>
      <c r="AR17" s="59"/>
      <c r="AS17" s="59"/>
      <c r="AT17" s="59"/>
      <c r="AU17" s="59"/>
      <c r="AV17" s="75"/>
      <c r="AW17" s="100"/>
    </row>
    <row r="18" spans="1:54" ht="19.5" thickBot="1" x14ac:dyDescent="0.35">
      <c r="A18" s="166">
        <v>44757</v>
      </c>
      <c r="B18" s="190"/>
      <c r="C18" s="179"/>
      <c r="D18" s="179"/>
      <c r="E18" s="175"/>
      <c r="F18" s="170">
        <f t="shared" si="3"/>
        <v>0</v>
      </c>
      <c r="G18" s="171">
        <f t="shared" si="4"/>
        <v>0</v>
      </c>
      <c r="H18" s="179"/>
      <c r="I18" s="191"/>
      <c r="J18" s="175"/>
      <c r="K18" s="192">
        <f t="shared" si="0"/>
        <v>0</v>
      </c>
      <c r="L18" s="193">
        <f t="shared" si="1"/>
        <v>0</v>
      </c>
      <c r="M18" s="174"/>
      <c r="N18" s="220"/>
      <c r="O18" s="195">
        <f>SUM(L18-M18-N18+O17+P18)</f>
        <v>268.89999999999998</v>
      </c>
      <c r="P18" s="196"/>
      <c r="Q18" s="218"/>
      <c r="R18" s="179"/>
      <c r="S18" s="180"/>
      <c r="T18" s="199"/>
      <c r="U18" s="124"/>
      <c r="V18" s="124"/>
      <c r="W18" s="135"/>
      <c r="X18" s="182">
        <v>16</v>
      </c>
      <c r="Y18" s="200"/>
      <c r="Z18" s="201"/>
      <c r="AA18" s="182"/>
      <c r="AB18" s="182"/>
      <c r="AC18" s="108"/>
      <c r="AD18" s="108"/>
      <c r="AE18" s="108">
        <f t="shared" si="2"/>
        <v>0</v>
      </c>
      <c r="AF18" s="182"/>
      <c r="AG18" s="182"/>
      <c r="AH18" s="202"/>
      <c r="AI18" s="203"/>
      <c r="AJ18" s="108">
        <f t="shared" si="6"/>
        <v>0</v>
      </c>
      <c r="AK18" s="301"/>
      <c r="AL18" s="124"/>
      <c r="AM18" s="124"/>
      <c r="AN18" s="16"/>
      <c r="AQ18" s="100"/>
      <c r="AR18" s="59"/>
      <c r="AS18" s="59"/>
      <c r="AT18" s="59"/>
      <c r="AU18" s="59"/>
      <c r="AV18" s="59"/>
      <c r="AW18" s="100"/>
    </row>
    <row r="19" spans="1:54" ht="19.5" thickBot="1" x14ac:dyDescent="0.35">
      <c r="A19" s="166">
        <v>44758</v>
      </c>
      <c r="B19" s="190"/>
      <c r="C19" s="179"/>
      <c r="D19" s="179"/>
      <c r="E19" s="175"/>
      <c r="F19" s="170">
        <f t="shared" si="3"/>
        <v>0</v>
      </c>
      <c r="G19" s="171">
        <f t="shared" si="4"/>
        <v>0</v>
      </c>
      <c r="H19" s="179"/>
      <c r="I19" s="191"/>
      <c r="J19" s="175"/>
      <c r="K19" s="192">
        <f t="shared" si="0"/>
        <v>0</v>
      </c>
      <c r="L19" s="193">
        <f t="shared" si="1"/>
        <v>0</v>
      </c>
      <c r="M19" s="174"/>
      <c r="N19" s="194"/>
      <c r="O19" s="195">
        <f>SUM(L19-M19-N19+O18+P19)</f>
        <v>268.89999999999998</v>
      </c>
      <c r="P19" s="196"/>
      <c r="Q19" s="218"/>
      <c r="R19" s="179"/>
      <c r="S19" s="180"/>
      <c r="T19" s="199"/>
      <c r="U19" s="124"/>
      <c r="V19" s="124"/>
      <c r="W19" s="135"/>
      <c r="X19" s="182">
        <v>17</v>
      </c>
      <c r="Y19" s="200"/>
      <c r="Z19" s="201"/>
      <c r="AA19" s="182"/>
      <c r="AB19" s="182"/>
      <c r="AC19" s="210"/>
      <c r="AD19" s="210"/>
      <c r="AE19" s="108">
        <f t="shared" si="2"/>
        <v>0</v>
      </c>
      <c r="AF19" s="208"/>
      <c r="AG19" s="182"/>
      <c r="AH19" s="202"/>
      <c r="AI19" s="203"/>
      <c r="AJ19" s="108">
        <f t="shared" si="6"/>
        <v>0</v>
      </c>
      <c r="AK19" s="301"/>
      <c r="AL19" s="124"/>
      <c r="AM19" s="124"/>
      <c r="AN19" s="16"/>
      <c r="AQ19" s="100"/>
      <c r="AR19" s="59"/>
      <c r="AS19" s="59"/>
      <c r="AT19" s="59"/>
      <c r="AU19" s="59"/>
      <c r="AV19" s="59"/>
      <c r="AW19" s="100"/>
    </row>
    <row r="20" spans="1:54" ht="19.5" thickBot="1" x14ac:dyDescent="0.35">
      <c r="A20" s="166">
        <v>44759</v>
      </c>
      <c r="B20" s="190"/>
      <c r="C20" s="179"/>
      <c r="D20" s="179"/>
      <c r="E20" s="175"/>
      <c r="F20" s="170">
        <f t="shared" si="3"/>
        <v>0</v>
      </c>
      <c r="G20" s="171">
        <f t="shared" si="4"/>
        <v>0</v>
      </c>
      <c r="H20" s="179"/>
      <c r="I20" s="191"/>
      <c r="J20" s="175"/>
      <c r="K20" s="192">
        <f t="shared" si="0"/>
        <v>0</v>
      </c>
      <c r="L20" s="193">
        <f t="shared" si="1"/>
        <v>0</v>
      </c>
      <c r="M20" s="174"/>
      <c r="N20" s="194"/>
      <c r="O20" s="195">
        <f>SUM(L20-M20-N20+O19+P20)</f>
        <v>268.89999999999998</v>
      </c>
      <c r="P20" s="196"/>
      <c r="Q20" s="218"/>
      <c r="R20" s="179"/>
      <c r="S20" s="180"/>
      <c r="T20" s="199"/>
      <c r="U20" s="124"/>
      <c r="V20" s="124"/>
      <c r="W20" s="135"/>
      <c r="X20" s="182">
        <v>18</v>
      </c>
      <c r="Y20" s="200"/>
      <c r="Z20" s="201"/>
      <c r="AA20" s="182"/>
      <c r="AB20" s="182"/>
      <c r="AC20" s="210"/>
      <c r="AD20" s="210"/>
      <c r="AE20" s="108">
        <f t="shared" si="2"/>
        <v>0</v>
      </c>
      <c r="AF20" s="182"/>
      <c r="AG20" s="216"/>
      <c r="AH20" s="202"/>
      <c r="AI20" s="203"/>
      <c r="AJ20" s="108">
        <f t="shared" si="6"/>
        <v>0</v>
      </c>
      <c r="AK20" s="301"/>
      <c r="AL20" s="124"/>
      <c r="AM20" s="124"/>
      <c r="AN20" s="22"/>
      <c r="AQ20" s="100"/>
      <c r="AR20" s="59"/>
      <c r="AS20" s="59"/>
      <c r="AT20" s="59"/>
      <c r="AU20" s="59"/>
      <c r="AV20" s="59"/>
      <c r="AW20" s="100"/>
    </row>
    <row r="21" spans="1:54" ht="19.5" thickBot="1" x14ac:dyDescent="0.35">
      <c r="A21" s="166">
        <v>44760</v>
      </c>
      <c r="B21" s="190"/>
      <c r="C21" s="179"/>
      <c r="D21" s="179"/>
      <c r="E21" s="175"/>
      <c r="F21" s="170">
        <f t="shared" si="3"/>
        <v>0</v>
      </c>
      <c r="G21" s="171">
        <f t="shared" si="4"/>
        <v>0</v>
      </c>
      <c r="H21" s="179"/>
      <c r="I21" s="191"/>
      <c r="J21" s="175"/>
      <c r="K21" s="192">
        <f t="shared" si="0"/>
        <v>0</v>
      </c>
      <c r="L21" s="193">
        <f t="shared" si="1"/>
        <v>0</v>
      </c>
      <c r="M21" s="174"/>
      <c r="N21" s="194"/>
      <c r="O21" s="195">
        <f t="shared" si="5"/>
        <v>268.89999999999998</v>
      </c>
      <c r="P21" s="196"/>
      <c r="Q21" s="218"/>
      <c r="R21" s="179"/>
      <c r="S21" s="180"/>
      <c r="T21" s="199"/>
      <c r="U21" s="124"/>
      <c r="V21" s="124"/>
      <c r="W21" s="135"/>
      <c r="X21" s="182">
        <v>19</v>
      </c>
      <c r="Y21" s="200"/>
      <c r="Z21" s="201"/>
      <c r="AA21" s="182"/>
      <c r="AB21" s="221"/>
      <c r="AC21" s="108"/>
      <c r="AD21" s="108"/>
      <c r="AE21" s="108">
        <f t="shared" si="2"/>
        <v>0</v>
      </c>
      <c r="AF21" s="182"/>
      <c r="AG21" s="182"/>
      <c r="AH21" s="202"/>
      <c r="AI21" s="203"/>
      <c r="AJ21" s="108">
        <f t="shared" si="6"/>
        <v>0</v>
      </c>
      <c r="AK21" s="301"/>
      <c r="AL21" s="124"/>
      <c r="AM21" s="124"/>
      <c r="AN21" s="22"/>
      <c r="AQ21" s="100"/>
      <c r="AR21" s="59"/>
      <c r="AS21" s="59"/>
      <c r="AT21" s="59"/>
      <c r="AU21" s="59"/>
      <c r="AV21" s="59"/>
      <c r="AW21" s="100"/>
    </row>
    <row r="22" spans="1:54" ht="19.5" thickBot="1" x14ac:dyDescent="0.35">
      <c r="A22" s="166">
        <v>44761</v>
      </c>
      <c r="B22" s="190"/>
      <c r="C22" s="179"/>
      <c r="D22" s="179"/>
      <c r="E22" s="175"/>
      <c r="F22" s="170">
        <f t="shared" si="3"/>
        <v>0</v>
      </c>
      <c r="G22" s="171">
        <f t="shared" si="4"/>
        <v>0</v>
      </c>
      <c r="H22" s="179"/>
      <c r="I22" s="191"/>
      <c r="J22" s="175"/>
      <c r="K22" s="192">
        <f t="shared" si="0"/>
        <v>0</v>
      </c>
      <c r="L22" s="193">
        <f t="shared" si="1"/>
        <v>0</v>
      </c>
      <c r="M22" s="174"/>
      <c r="N22" s="194"/>
      <c r="O22" s="195">
        <f t="shared" si="5"/>
        <v>268.89999999999998</v>
      </c>
      <c r="P22" s="196"/>
      <c r="Q22" s="218"/>
      <c r="R22" s="179"/>
      <c r="S22" s="180"/>
      <c r="T22" s="199"/>
      <c r="U22" s="124"/>
      <c r="V22" s="124"/>
      <c r="W22" s="135"/>
      <c r="X22" s="182">
        <v>20</v>
      </c>
      <c r="Y22" s="200"/>
      <c r="Z22" s="201"/>
      <c r="AA22" s="182"/>
      <c r="AB22" s="221"/>
      <c r="AC22" s="210"/>
      <c r="AD22" s="210"/>
      <c r="AE22" s="108">
        <f t="shared" si="2"/>
        <v>0</v>
      </c>
      <c r="AF22" s="182"/>
      <c r="AG22" s="182"/>
      <c r="AH22" s="202"/>
      <c r="AI22" s="203"/>
      <c r="AJ22" s="108">
        <f t="shared" si="6"/>
        <v>0</v>
      </c>
      <c r="AK22" s="301"/>
      <c r="AL22" s="124"/>
      <c r="AM22" s="124"/>
      <c r="AN22" s="16"/>
      <c r="AQ22" s="100"/>
      <c r="AR22" s="59"/>
      <c r="AS22" s="71"/>
      <c r="AT22" s="71"/>
      <c r="AU22" s="71"/>
      <c r="AV22" s="59"/>
      <c r="AW22" s="100"/>
    </row>
    <row r="23" spans="1:54" ht="19.5" thickBot="1" x14ac:dyDescent="0.35">
      <c r="A23" s="166">
        <v>44762</v>
      </c>
      <c r="B23" s="190"/>
      <c r="C23" s="179"/>
      <c r="D23" s="179"/>
      <c r="E23" s="175"/>
      <c r="F23" s="170">
        <f t="shared" si="3"/>
        <v>0</v>
      </c>
      <c r="G23" s="171">
        <f t="shared" si="4"/>
        <v>0</v>
      </c>
      <c r="H23" s="179"/>
      <c r="I23" s="191"/>
      <c r="J23" s="175"/>
      <c r="K23" s="192">
        <f t="shared" si="0"/>
        <v>0</v>
      </c>
      <c r="L23" s="193">
        <f t="shared" si="1"/>
        <v>0</v>
      </c>
      <c r="M23" s="174"/>
      <c r="N23" s="194"/>
      <c r="O23" s="195">
        <f t="shared" si="5"/>
        <v>268.89999999999998</v>
      </c>
      <c r="P23" s="196"/>
      <c r="Q23" s="211"/>
      <c r="R23" s="212"/>
      <c r="S23" s="180"/>
      <c r="T23" s="222"/>
      <c r="U23" s="124"/>
      <c r="V23" s="124"/>
      <c r="W23" s="135"/>
      <c r="X23" s="182">
        <v>21</v>
      </c>
      <c r="Y23" s="223"/>
      <c r="Z23" s="224"/>
      <c r="AA23" s="208"/>
      <c r="AB23" s="225"/>
      <c r="AC23" s="108"/>
      <c r="AD23" s="108"/>
      <c r="AE23" s="108">
        <f t="shared" si="2"/>
        <v>0</v>
      </c>
      <c r="AF23" s="208"/>
      <c r="AG23" s="226"/>
      <c r="AH23" s="202"/>
      <c r="AI23" s="203"/>
      <c r="AJ23" s="108">
        <f t="shared" si="6"/>
        <v>0</v>
      </c>
      <c r="AK23" s="301"/>
      <c r="AL23" s="124"/>
      <c r="AM23" s="124"/>
      <c r="AN23" s="16"/>
      <c r="AQ23" s="100"/>
      <c r="AR23" s="100"/>
      <c r="AS23" s="100"/>
      <c r="AT23" s="100"/>
      <c r="AU23" s="100"/>
      <c r="AV23" s="100"/>
      <c r="AW23" s="100"/>
    </row>
    <row r="24" spans="1:54" ht="19.5" thickBot="1" x14ac:dyDescent="0.35">
      <c r="A24" s="166">
        <v>44763</v>
      </c>
      <c r="B24" s="190"/>
      <c r="C24" s="179"/>
      <c r="D24" s="179"/>
      <c r="E24" s="175"/>
      <c r="F24" s="170">
        <f t="shared" si="3"/>
        <v>0</v>
      </c>
      <c r="G24" s="171">
        <f t="shared" si="4"/>
        <v>0</v>
      </c>
      <c r="H24" s="179"/>
      <c r="I24" s="191"/>
      <c r="J24" s="175"/>
      <c r="K24" s="192">
        <f t="shared" si="0"/>
        <v>0</v>
      </c>
      <c r="L24" s="193">
        <f t="shared" si="1"/>
        <v>0</v>
      </c>
      <c r="M24" s="209"/>
      <c r="N24" s="194"/>
      <c r="O24" s="195">
        <f>SUM(L24-M24-N24+O23+P24)</f>
        <v>268.89999999999998</v>
      </c>
      <c r="P24" s="196"/>
      <c r="Q24" s="211"/>
      <c r="R24" s="212"/>
      <c r="S24" s="180"/>
      <c r="T24" s="222"/>
      <c r="U24" s="124"/>
      <c r="V24" s="124"/>
      <c r="W24" s="135"/>
      <c r="X24" s="182">
        <v>22</v>
      </c>
      <c r="Y24" s="200"/>
      <c r="Z24" s="201"/>
      <c r="AA24" s="182"/>
      <c r="AB24" s="227"/>
      <c r="AC24" s="210"/>
      <c r="AD24" s="210"/>
      <c r="AE24" s="108">
        <f t="shared" si="2"/>
        <v>0</v>
      </c>
      <c r="AF24" s="182"/>
      <c r="AG24" s="226"/>
      <c r="AH24" s="202"/>
      <c r="AI24" s="203"/>
      <c r="AJ24" s="108">
        <f t="shared" si="6"/>
        <v>0</v>
      </c>
      <c r="AK24" s="301"/>
      <c r="AL24" s="124"/>
      <c r="AM24" s="124"/>
      <c r="AN24" s="16"/>
    </row>
    <row r="25" spans="1:54" ht="19.5" thickBot="1" x14ac:dyDescent="0.35">
      <c r="A25" s="166">
        <v>44764</v>
      </c>
      <c r="B25" s="190"/>
      <c r="C25" s="179"/>
      <c r="D25" s="179"/>
      <c r="E25" s="175"/>
      <c r="F25" s="170">
        <f t="shared" si="3"/>
        <v>0</v>
      </c>
      <c r="G25" s="171">
        <f t="shared" si="4"/>
        <v>0</v>
      </c>
      <c r="H25" s="179"/>
      <c r="I25" s="191"/>
      <c r="J25" s="175"/>
      <c r="K25" s="192">
        <f t="shared" si="0"/>
        <v>0</v>
      </c>
      <c r="L25" s="193">
        <f t="shared" si="1"/>
        <v>0</v>
      </c>
      <c r="M25" s="174"/>
      <c r="N25" s="194"/>
      <c r="O25" s="195">
        <f t="shared" si="5"/>
        <v>268.89999999999998</v>
      </c>
      <c r="P25" s="196"/>
      <c r="Q25" s="178"/>
      <c r="R25" s="179"/>
      <c r="S25" s="180"/>
      <c r="T25" s="181"/>
      <c r="U25" s="124"/>
      <c r="V25" s="124"/>
      <c r="W25" s="135"/>
      <c r="X25" s="182">
        <v>26</v>
      </c>
      <c r="Y25" s="223"/>
      <c r="Z25" s="224"/>
      <c r="AA25" s="208"/>
      <c r="AB25" s="228"/>
      <c r="AC25" s="210"/>
      <c r="AD25" s="210"/>
      <c r="AE25" s="108">
        <f t="shared" si="2"/>
        <v>0</v>
      </c>
      <c r="AF25" s="208"/>
      <c r="AG25" s="226"/>
      <c r="AH25" s="202"/>
      <c r="AI25" s="203"/>
      <c r="AJ25" s="108">
        <f t="shared" si="6"/>
        <v>0</v>
      </c>
      <c r="AK25" s="301"/>
      <c r="AL25" s="124"/>
      <c r="AM25" s="124"/>
      <c r="AN25" s="16"/>
      <c r="AW25" s="2"/>
    </row>
    <row r="26" spans="1:54" ht="19.5" thickBot="1" x14ac:dyDescent="0.35">
      <c r="A26" s="166">
        <v>44765</v>
      </c>
      <c r="B26" s="190"/>
      <c r="C26" s="179"/>
      <c r="D26" s="179"/>
      <c r="E26" s="175"/>
      <c r="F26" s="170">
        <f t="shared" si="3"/>
        <v>0</v>
      </c>
      <c r="G26" s="171">
        <f t="shared" si="4"/>
        <v>0</v>
      </c>
      <c r="H26" s="179"/>
      <c r="I26" s="191"/>
      <c r="J26" s="175"/>
      <c r="K26" s="192">
        <f t="shared" si="0"/>
        <v>0</v>
      </c>
      <c r="L26" s="193">
        <f t="shared" si="1"/>
        <v>0</v>
      </c>
      <c r="M26" s="174"/>
      <c r="N26" s="194"/>
      <c r="O26" s="195">
        <f t="shared" si="5"/>
        <v>268.89999999999998</v>
      </c>
      <c r="P26" s="196"/>
      <c r="Q26" s="178"/>
      <c r="R26" s="179"/>
      <c r="S26" s="180"/>
      <c r="T26" s="222"/>
      <c r="U26" s="124"/>
      <c r="V26" s="124"/>
      <c r="W26" s="135"/>
      <c r="X26" s="182">
        <v>27</v>
      </c>
      <c r="Y26" s="223"/>
      <c r="Z26" s="224"/>
      <c r="AA26" s="208"/>
      <c r="AB26" s="228"/>
      <c r="AC26" s="210"/>
      <c r="AD26" s="210"/>
      <c r="AE26" s="108">
        <f t="shared" si="2"/>
        <v>0</v>
      </c>
      <c r="AF26" s="208"/>
      <c r="AG26" s="226"/>
      <c r="AH26" s="202"/>
      <c r="AI26" s="203"/>
      <c r="AJ26" s="108">
        <f t="shared" si="6"/>
        <v>0</v>
      </c>
      <c r="AK26" s="301"/>
      <c r="AL26" s="124"/>
      <c r="AM26" s="124"/>
      <c r="AN26" s="16"/>
      <c r="AW26" s="2"/>
      <c r="AY26" s="2"/>
    </row>
    <row r="27" spans="1:54" ht="19.5" thickBot="1" x14ac:dyDescent="0.35">
      <c r="A27" s="166">
        <v>44766</v>
      </c>
      <c r="B27" s="190"/>
      <c r="C27" s="179"/>
      <c r="D27" s="179"/>
      <c r="E27" s="175"/>
      <c r="F27" s="170">
        <f t="shared" si="3"/>
        <v>0</v>
      </c>
      <c r="G27" s="171">
        <f t="shared" si="4"/>
        <v>0</v>
      </c>
      <c r="H27" s="179"/>
      <c r="I27" s="191"/>
      <c r="J27" s="175"/>
      <c r="K27" s="192">
        <f t="shared" si="0"/>
        <v>0</v>
      </c>
      <c r="L27" s="193">
        <f t="shared" si="1"/>
        <v>0</v>
      </c>
      <c r="M27" s="209"/>
      <c r="N27" s="194"/>
      <c r="O27" s="195">
        <f t="shared" si="5"/>
        <v>268.89999999999998</v>
      </c>
      <c r="P27" s="196"/>
      <c r="Q27" s="178"/>
      <c r="R27" s="179"/>
      <c r="S27" s="180"/>
      <c r="T27" s="222"/>
      <c r="U27" s="124"/>
      <c r="V27" s="124"/>
      <c r="W27" s="135"/>
      <c r="X27" s="182">
        <v>28</v>
      </c>
      <c r="Y27" s="200"/>
      <c r="Z27" s="201"/>
      <c r="AA27" s="182"/>
      <c r="AB27" s="182"/>
      <c r="AC27" s="210"/>
      <c r="AD27" s="210"/>
      <c r="AE27" s="108">
        <f t="shared" si="2"/>
        <v>0</v>
      </c>
      <c r="AF27" s="182"/>
      <c r="AG27" s="182"/>
      <c r="AH27" s="202"/>
      <c r="AI27" s="203"/>
      <c r="AJ27" s="108">
        <f t="shared" si="6"/>
        <v>0</v>
      </c>
      <c r="AK27" s="301"/>
      <c r="AL27" s="124"/>
      <c r="AM27" s="124"/>
      <c r="AN27" s="16"/>
      <c r="AR27" s="2"/>
      <c r="AS27" s="2"/>
      <c r="AT27" s="2"/>
      <c r="AU27" s="2"/>
      <c r="AV27" s="2"/>
      <c r="AW27" s="2"/>
      <c r="AY27" s="2"/>
      <c r="AZ27" s="2"/>
      <c r="BA27" s="2"/>
      <c r="BB27" s="2"/>
    </row>
    <row r="28" spans="1:54" ht="19.5" thickBot="1" x14ac:dyDescent="0.35">
      <c r="A28" s="166">
        <v>44767</v>
      </c>
      <c r="B28" s="190"/>
      <c r="C28" s="179"/>
      <c r="D28" s="179"/>
      <c r="E28" s="175"/>
      <c r="F28" s="170">
        <f t="shared" si="3"/>
        <v>0</v>
      </c>
      <c r="G28" s="171">
        <f t="shared" si="4"/>
        <v>0</v>
      </c>
      <c r="H28" s="179"/>
      <c r="I28" s="191"/>
      <c r="J28" s="175"/>
      <c r="K28" s="192">
        <f t="shared" si="0"/>
        <v>0</v>
      </c>
      <c r="L28" s="193">
        <f t="shared" si="1"/>
        <v>0</v>
      </c>
      <c r="M28" s="174"/>
      <c r="N28" s="194"/>
      <c r="O28" s="195">
        <f>SUM(L28-M28-N28+O27+P28)</f>
        <v>268.89999999999998</v>
      </c>
      <c r="P28" s="196"/>
      <c r="Q28" s="178"/>
      <c r="R28" s="179"/>
      <c r="S28" s="180"/>
      <c r="T28" s="222"/>
      <c r="U28" s="124"/>
      <c r="V28" s="124"/>
      <c r="W28" s="135"/>
      <c r="X28" s="182">
        <v>29</v>
      </c>
      <c r="Y28" s="200"/>
      <c r="Z28" s="201"/>
      <c r="AA28" s="182"/>
      <c r="AB28" s="182"/>
      <c r="AC28" s="210"/>
      <c r="AD28" s="210"/>
      <c r="AE28" s="108">
        <f t="shared" si="2"/>
        <v>0</v>
      </c>
      <c r="AF28" s="182"/>
      <c r="AG28" s="182"/>
      <c r="AH28" s="202"/>
      <c r="AI28" s="203"/>
      <c r="AJ28" s="108">
        <f t="shared" si="6"/>
        <v>0</v>
      </c>
      <c r="AK28" s="163"/>
      <c r="AL28" s="124"/>
      <c r="AM28" s="124"/>
      <c r="AN28" s="16"/>
      <c r="AR28" s="92"/>
      <c r="AS28" s="11"/>
      <c r="AT28" s="11"/>
      <c r="AU28" s="11"/>
      <c r="AV28" s="2"/>
      <c r="AW28" s="2"/>
      <c r="AY28" s="2"/>
      <c r="AZ28" s="2"/>
      <c r="BA28" s="12"/>
      <c r="BB28" s="2"/>
    </row>
    <row r="29" spans="1:54" ht="19.5" thickBot="1" x14ac:dyDescent="0.35">
      <c r="A29" s="166">
        <v>44768</v>
      </c>
      <c r="B29" s="190"/>
      <c r="C29" s="179"/>
      <c r="D29" s="179"/>
      <c r="E29" s="175"/>
      <c r="F29" s="170">
        <f t="shared" si="3"/>
        <v>0</v>
      </c>
      <c r="G29" s="171">
        <f t="shared" si="4"/>
        <v>0</v>
      </c>
      <c r="H29" s="179"/>
      <c r="I29" s="191"/>
      <c r="J29" s="175"/>
      <c r="K29" s="192">
        <f t="shared" si="0"/>
        <v>0</v>
      </c>
      <c r="L29" s="193">
        <f t="shared" si="1"/>
        <v>0</v>
      </c>
      <c r="M29" s="174"/>
      <c r="N29" s="194"/>
      <c r="O29" s="195">
        <f t="shared" si="5"/>
        <v>268.89999999999998</v>
      </c>
      <c r="P29" s="135"/>
      <c r="Q29" s="178"/>
      <c r="R29" s="179"/>
      <c r="S29" s="180"/>
      <c r="T29" s="222"/>
      <c r="U29" s="124"/>
      <c r="V29" s="124"/>
      <c r="W29" s="135"/>
      <c r="X29" s="182">
        <v>30</v>
      </c>
      <c r="Y29" s="200"/>
      <c r="Z29" s="201"/>
      <c r="AA29" s="182"/>
      <c r="AB29" s="182"/>
      <c r="AC29" s="108"/>
      <c r="AD29" s="108"/>
      <c r="AE29" s="108">
        <f t="shared" si="2"/>
        <v>0</v>
      </c>
      <c r="AF29" s="182"/>
      <c r="AG29" s="182"/>
      <c r="AH29" s="202"/>
      <c r="AI29" s="203"/>
      <c r="AJ29" s="108">
        <f t="shared" si="6"/>
        <v>0</v>
      </c>
      <c r="AK29" s="163"/>
      <c r="AL29" s="124"/>
      <c r="AM29" s="124"/>
      <c r="AN29" s="22"/>
      <c r="AR29" s="92"/>
      <c r="AS29" s="11"/>
      <c r="AT29" s="11"/>
      <c r="AU29" s="11"/>
      <c r="AV29" s="2"/>
      <c r="AW29" s="2"/>
      <c r="AY29" s="12"/>
      <c r="AZ29" s="2"/>
      <c r="BA29" s="12"/>
      <c r="BB29" s="2"/>
    </row>
    <row r="30" spans="1:54" ht="19.5" thickBot="1" x14ac:dyDescent="0.35">
      <c r="A30" s="166">
        <v>44769</v>
      </c>
      <c r="B30" s="229"/>
      <c r="C30" s="179"/>
      <c r="D30" s="179"/>
      <c r="E30" s="175"/>
      <c r="F30" s="170">
        <f t="shared" si="3"/>
        <v>0</v>
      </c>
      <c r="G30" s="171">
        <f t="shared" si="4"/>
        <v>0</v>
      </c>
      <c r="H30" s="179"/>
      <c r="I30" s="191"/>
      <c r="J30" s="175"/>
      <c r="K30" s="192">
        <f t="shared" si="0"/>
        <v>0</v>
      </c>
      <c r="L30" s="193">
        <f t="shared" si="1"/>
        <v>0</v>
      </c>
      <c r="M30" s="209"/>
      <c r="N30" s="194"/>
      <c r="O30" s="195">
        <f>SUM(L30-M30-N30+O29+P30)</f>
        <v>268.89999999999998</v>
      </c>
      <c r="P30" s="135"/>
      <c r="Q30" s="178"/>
      <c r="R30" s="179"/>
      <c r="S30" s="230"/>
      <c r="T30" s="222"/>
      <c r="U30" s="124"/>
      <c r="V30" s="124"/>
      <c r="W30" s="135"/>
      <c r="X30" s="24"/>
      <c r="Y30" s="160"/>
      <c r="Z30" s="161"/>
      <c r="AA30" s="24"/>
      <c r="AB30" s="24"/>
      <c r="AC30" s="231" t="s">
        <v>16</v>
      </c>
      <c r="AD30" s="231">
        <f>SUM(AD3:AD29)</f>
        <v>0</v>
      </c>
      <c r="AE30" s="163"/>
      <c r="AF30" s="232"/>
      <c r="AG30" s="24"/>
      <c r="AH30" s="233"/>
      <c r="AI30" s="165"/>
      <c r="AJ30" s="163"/>
      <c r="AK30" s="163"/>
      <c r="AL30" s="124"/>
      <c r="AM30" s="124"/>
      <c r="AN30" s="22"/>
      <c r="AR30" s="92"/>
      <c r="AS30" s="11"/>
      <c r="AT30" s="11"/>
      <c r="AU30" s="11"/>
      <c r="AV30" s="2"/>
      <c r="AW30" s="2"/>
      <c r="AY30" s="12"/>
      <c r="AZ30" s="2"/>
      <c r="BA30" s="12"/>
      <c r="BB30" s="2"/>
    </row>
    <row r="31" spans="1:54" ht="19.5" thickBot="1" x14ac:dyDescent="0.35">
      <c r="A31" s="166">
        <v>44770</v>
      </c>
      <c r="B31" s="234"/>
      <c r="C31" s="235"/>
      <c r="D31" s="236"/>
      <c r="E31" s="175"/>
      <c r="F31" s="170">
        <f t="shared" si="3"/>
        <v>0</v>
      </c>
      <c r="G31" s="171">
        <f t="shared" si="4"/>
        <v>0</v>
      </c>
      <c r="H31" s="179"/>
      <c r="I31" s="191"/>
      <c r="J31" s="237"/>
      <c r="K31" s="192">
        <f t="shared" si="0"/>
        <v>0</v>
      </c>
      <c r="L31" s="193">
        <f t="shared" si="1"/>
        <v>0</v>
      </c>
      <c r="M31" s="174"/>
      <c r="N31" s="194"/>
      <c r="O31" s="238">
        <f t="shared" si="5"/>
        <v>268.89999999999998</v>
      </c>
      <c r="P31" s="239" t="s">
        <v>9</v>
      </c>
      <c r="Q31" s="178"/>
      <c r="R31" s="179"/>
      <c r="S31" s="230"/>
      <c r="T31" s="222"/>
      <c r="U31" s="124"/>
      <c r="V31" s="124"/>
      <c r="W31" s="135"/>
      <c r="X31" s="24"/>
      <c r="Y31" s="160"/>
      <c r="Z31" s="161"/>
      <c r="AA31" s="24"/>
      <c r="AB31" s="24"/>
      <c r="AC31" s="163"/>
      <c r="AD31" s="163"/>
      <c r="AE31" s="163"/>
      <c r="AF31" s="24"/>
      <c r="AG31" s="24"/>
      <c r="AH31" s="233"/>
      <c r="AI31" s="165"/>
      <c r="AJ31" s="163"/>
      <c r="AK31" s="301"/>
      <c r="AL31" s="124"/>
      <c r="AM31" s="124"/>
      <c r="AN31" s="22"/>
      <c r="AR31" s="92"/>
      <c r="AS31" s="11"/>
      <c r="AT31" s="11"/>
      <c r="AU31" s="11"/>
      <c r="AV31" s="2"/>
      <c r="AW31" s="2"/>
      <c r="AY31" s="2"/>
      <c r="AZ31" s="2"/>
      <c r="BA31" s="12"/>
      <c r="BB31" s="2"/>
    </row>
    <row r="32" spans="1:54" ht="19.5" thickBot="1" x14ac:dyDescent="0.35">
      <c r="A32" s="166">
        <v>44771</v>
      </c>
      <c r="B32" s="190"/>
      <c r="C32" s="179"/>
      <c r="D32" s="179"/>
      <c r="E32" s="175"/>
      <c r="F32" s="170">
        <f t="shared" si="3"/>
        <v>0</v>
      </c>
      <c r="G32" s="171">
        <f t="shared" si="4"/>
        <v>0</v>
      </c>
      <c r="H32" s="179"/>
      <c r="I32" s="191"/>
      <c r="J32" s="175"/>
      <c r="K32" s="192">
        <f t="shared" si="0"/>
        <v>0</v>
      </c>
      <c r="L32" s="193">
        <f t="shared" si="1"/>
        <v>0</v>
      </c>
      <c r="M32" s="240"/>
      <c r="N32" s="194"/>
      <c r="O32" s="238">
        <f t="shared" si="5"/>
        <v>268.89999999999998</v>
      </c>
      <c r="P32" s="241" t="s">
        <v>10</v>
      </c>
      <c r="Q32" s="242"/>
      <c r="R32" s="179"/>
      <c r="S32" s="230"/>
      <c r="T32" s="222"/>
      <c r="U32" s="124"/>
      <c r="V32" s="124"/>
      <c r="W32" s="135"/>
      <c r="X32" s="24"/>
      <c r="Y32" s="160"/>
      <c r="Z32" s="161"/>
      <c r="AA32" s="182" t="s">
        <v>17</v>
      </c>
      <c r="AB32" s="24"/>
      <c r="AC32" s="244"/>
      <c r="AD32" s="244"/>
      <c r="AE32" s="163"/>
      <c r="AF32" s="24"/>
      <c r="AG32" s="24"/>
      <c r="AH32" s="233"/>
      <c r="AI32" s="165"/>
      <c r="AJ32" s="163"/>
      <c r="AK32" s="163"/>
      <c r="AL32" s="303" t="s">
        <v>31</v>
      </c>
      <c r="AM32" s="304"/>
      <c r="AN32" s="36"/>
      <c r="AR32" s="2"/>
      <c r="AS32" s="11"/>
      <c r="AT32" s="11"/>
      <c r="AU32" s="11"/>
      <c r="AV32" s="2"/>
      <c r="AW32" s="2"/>
      <c r="AY32" s="2"/>
      <c r="AZ32" s="2"/>
      <c r="BA32" s="2"/>
      <c r="BB32" s="2"/>
    </row>
    <row r="33" spans="1:54" ht="19.5" thickBot="1" x14ac:dyDescent="0.35">
      <c r="A33" s="166">
        <v>44772</v>
      </c>
      <c r="B33" s="245"/>
      <c r="C33" s="246"/>
      <c r="D33" s="246"/>
      <c r="E33" s="247"/>
      <c r="F33" s="170">
        <f t="shared" si="3"/>
        <v>0</v>
      </c>
      <c r="G33" s="171">
        <f t="shared" si="4"/>
        <v>0</v>
      </c>
      <c r="H33" s="248"/>
      <c r="I33" s="248"/>
      <c r="J33" s="247"/>
      <c r="K33" s="249">
        <f t="shared" si="0"/>
        <v>0</v>
      </c>
      <c r="L33" s="250">
        <f t="shared" si="1"/>
        <v>0</v>
      </c>
      <c r="M33" s="251"/>
      <c r="N33" s="252"/>
      <c r="O33" s="253">
        <f t="shared" si="5"/>
        <v>268.89999999999998</v>
      </c>
      <c r="P33" s="254">
        <f>SUM(O33)</f>
        <v>268.89999999999998</v>
      </c>
      <c r="Q33" s="255"/>
      <c r="R33" s="246"/>
      <c r="S33" s="256"/>
      <c r="T33" s="257"/>
      <c r="U33" s="124"/>
      <c r="V33" s="124"/>
      <c r="W33" s="135"/>
      <c r="X33" s="182">
        <v>1</v>
      </c>
      <c r="Y33" s="200"/>
      <c r="Z33" s="201"/>
      <c r="AA33" s="182"/>
      <c r="AB33" s="182"/>
      <c r="AC33" s="258"/>
      <c r="AD33" s="210"/>
      <c r="AE33" s="108">
        <f t="shared" ref="AE33:AE62" si="7">SUM(AC33:AD33)</f>
        <v>0</v>
      </c>
      <c r="AF33" s="182"/>
      <c r="AG33" s="182"/>
      <c r="AH33" s="202"/>
      <c r="AI33" s="203"/>
      <c r="AJ33" s="108">
        <v>0</v>
      </c>
      <c r="AK33" s="163"/>
      <c r="AL33" s="258">
        <f t="shared" ref="AL33:AL63" si="8">AC33</f>
        <v>0</v>
      </c>
      <c r="AM33" s="305">
        <v>1</v>
      </c>
      <c r="AN33" s="16"/>
      <c r="AR33" s="92"/>
      <c r="AS33" s="11"/>
      <c r="AT33" s="11"/>
      <c r="AU33" s="11"/>
      <c r="AV33" s="2"/>
      <c r="AW33" s="2"/>
      <c r="AY33" s="2"/>
      <c r="AZ33" s="2"/>
      <c r="BA33" s="2"/>
      <c r="BB33" s="2"/>
    </row>
    <row r="34" spans="1:54" ht="19.5" thickBot="1" x14ac:dyDescent="0.35">
      <c r="A34" s="124"/>
      <c r="B34" s="259">
        <f>SUM(B5:B33)</f>
        <v>0</v>
      </c>
      <c r="C34" s="260">
        <f t="shared" ref="C34:N34" si="9">SUM(C3:C33)</f>
        <v>0</v>
      </c>
      <c r="D34" s="261">
        <f t="shared" si="9"/>
        <v>0</v>
      </c>
      <c r="E34" s="261">
        <f t="shared" si="9"/>
        <v>0</v>
      </c>
      <c r="F34" s="262">
        <f t="shared" si="9"/>
        <v>0</v>
      </c>
      <c r="G34" s="263"/>
      <c r="H34" s="263">
        <f>SUM(H3:H33)</f>
        <v>0</v>
      </c>
      <c r="I34" s="263"/>
      <c r="J34" s="263">
        <f t="shared" si="9"/>
        <v>0</v>
      </c>
      <c r="K34" s="264">
        <f t="shared" si="9"/>
        <v>0</v>
      </c>
      <c r="L34" s="265">
        <f t="shared" si="9"/>
        <v>0</v>
      </c>
      <c r="M34" s="266">
        <f t="shared" si="9"/>
        <v>0</v>
      </c>
      <c r="N34" s="267">
        <f t="shared" si="9"/>
        <v>0</v>
      </c>
      <c r="O34" s="135"/>
      <c r="P34" s="135"/>
      <c r="Q34" s="124"/>
      <c r="R34" s="135"/>
      <c r="S34" s="124"/>
      <c r="T34" s="124"/>
      <c r="U34" s="124"/>
      <c r="V34" s="124"/>
      <c r="W34" s="135"/>
      <c r="X34" s="182">
        <v>2</v>
      </c>
      <c r="Y34" s="217"/>
      <c r="Z34" s="201"/>
      <c r="AA34" s="182"/>
      <c r="AB34" s="182"/>
      <c r="AC34" s="258"/>
      <c r="AD34" s="210"/>
      <c r="AE34" s="108">
        <f t="shared" si="7"/>
        <v>0</v>
      </c>
      <c r="AF34" s="182"/>
      <c r="AG34" s="216"/>
      <c r="AH34" s="202"/>
      <c r="AI34" s="203"/>
      <c r="AJ34" s="108">
        <f>AE34</f>
        <v>0</v>
      </c>
      <c r="AK34" s="163"/>
      <c r="AL34" s="258">
        <f t="shared" si="8"/>
        <v>0</v>
      </c>
      <c r="AM34" s="221">
        <v>2</v>
      </c>
      <c r="AN34" s="16"/>
      <c r="AR34" s="2"/>
      <c r="AS34" s="11"/>
      <c r="AT34" s="11"/>
      <c r="AU34" s="11"/>
      <c r="AV34" s="2"/>
      <c r="AW34" s="2"/>
      <c r="AY34" s="2"/>
      <c r="AZ34" s="2"/>
      <c r="BA34" s="2"/>
      <c r="BB34" s="2"/>
    </row>
    <row r="35" spans="1:54" ht="19.5" thickBot="1" x14ac:dyDescent="0.35">
      <c r="A35" s="269" t="s">
        <v>15</v>
      </c>
      <c r="B35" s="270">
        <f>SUM(B3:B33)</f>
        <v>0</v>
      </c>
      <c r="C35" s="270">
        <f>SUM(C34/1.06)</f>
        <v>0</v>
      </c>
      <c r="D35" s="270">
        <f>SUM(D34/1.12)</f>
        <v>0</v>
      </c>
      <c r="E35" s="270">
        <f>SUM(E34/1.21)</f>
        <v>0</v>
      </c>
      <c r="F35" s="270">
        <f>SUM(B35:E35)</f>
        <v>0</v>
      </c>
      <c r="G35" s="271">
        <f>SUM(G34:G34)</f>
        <v>0</v>
      </c>
      <c r="H35" s="135"/>
      <c r="I35" s="135"/>
      <c r="J35" s="179"/>
      <c r="K35" s="272"/>
      <c r="L35" s="273" t="s">
        <v>82</v>
      </c>
      <c r="M35" s="274"/>
      <c r="N35" s="275">
        <f>SUM(M34:N34)</f>
        <v>0</v>
      </c>
      <c r="O35" s="135"/>
      <c r="P35" s="135"/>
      <c r="Q35" s="124"/>
      <c r="R35" s="135"/>
      <c r="S35" s="124"/>
      <c r="T35" s="124"/>
      <c r="U35" s="124"/>
      <c r="V35" s="124"/>
      <c r="W35" s="135"/>
      <c r="X35" s="182">
        <v>3</v>
      </c>
      <c r="Y35" s="200"/>
      <c r="Z35" s="201"/>
      <c r="AA35" s="182"/>
      <c r="AB35" s="182"/>
      <c r="AC35" s="258"/>
      <c r="AD35" s="210"/>
      <c r="AE35" s="108">
        <f t="shared" si="7"/>
        <v>0</v>
      </c>
      <c r="AF35" s="182"/>
      <c r="AG35" s="182"/>
      <c r="AH35" s="202"/>
      <c r="AI35" s="203"/>
      <c r="AJ35" s="108">
        <f>AE35</f>
        <v>0</v>
      </c>
      <c r="AK35" s="163"/>
      <c r="AL35" s="258">
        <f t="shared" si="8"/>
        <v>0</v>
      </c>
      <c r="AM35" s="221">
        <v>3</v>
      </c>
      <c r="AN35" s="16"/>
      <c r="AR35" s="2"/>
      <c r="AS35" s="11"/>
      <c r="AT35" s="11"/>
      <c r="AU35" s="11"/>
      <c r="AV35" s="12"/>
      <c r="AW35" s="2"/>
      <c r="AY35" s="2"/>
      <c r="AZ35" s="2"/>
      <c r="BA35" s="2"/>
      <c r="BB35" s="2"/>
    </row>
    <row r="36" spans="1:54" ht="18.75" x14ac:dyDescent="0.3">
      <c r="A36" s="269" t="s">
        <v>16</v>
      </c>
      <c r="B36" s="276"/>
      <c r="C36" s="270">
        <f>SUM(C34-C35)</f>
        <v>0</v>
      </c>
      <c r="D36" s="270">
        <f>SUM(D34-D35)</f>
        <v>0</v>
      </c>
      <c r="E36" s="270">
        <f>SUM(E34-E35)</f>
        <v>0</v>
      </c>
      <c r="F36" s="270">
        <f>SUM(C36:E36)</f>
        <v>0</v>
      </c>
      <c r="G36" s="135"/>
      <c r="H36" s="135"/>
      <c r="I36" s="135"/>
      <c r="J36" s="135"/>
      <c r="K36" s="135"/>
      <c r="L36" s="135"/>
      <c r="M36" s="135"/>
      <c r="N36" s="135"/>
      <c r="O36" s="135"/>
      <c r="P36" s="135"/>
      <c r="Q36" s="124"/>
      <c r="R36" s="135"/>
      <c r="S36" s="124"/>
      <c r="T36" s="124"/>
      <c r="U36" s="124"/>
      <c r="V36" s="124"/>
      <c r="W36" s="135"/>
      <c r="X36" s="182">
        <v>4</v>
      </c>
      <c r="Y36" s="200"/>
      <c r="Z36" s="201"/>
      <c r="AA36" s="182"/>
      <c r="AB36" s="182"/>
      <c r="AC36" s="277"/>
      <c r="AD36" s="108"/>
      <c r="AE36" s="108">
        <f t="shared" si="7"/>
        <v>0</v>
      </c>
      <c r="AF36" s="182"/>
      <c r="AG36" s="182"/>
      <c r="AH36" s="202"/>
      <c r="AI36" s="203"/>
      <c r="AJ36" s="108">
        <v>0</v>
      </c>
      <c r="AK36" s="306"/>
      <c r="AL36" s="258">
        <f t="shared" si="8"/>
        <v>0</v>
      </c>
      <c r="AM36" s="221">
        <v>4</v>
      </c>
      <c r="AN36" s="16"/>
      <c r="AR36" s="12"/>
      <c r="AS36" s="11"/>
      <c r="AT36" s="11"/>
      <c r="AU36" s="11"/>
      <c r="AV36" s="12"/>
      <c r="AW36" s="2"/>
      <c r="AY36" s="2"/>
      <c r="AZ36" s="2"/>
      <c r="BA36" s="2"/>
      <c r="BB36" s="2"/>
    </row>
    <row r="37" spans="1:54" ht="18.75" x14ac:dyDescent="0.3">
      <c r="A37" s="124"/>
      <c r="B37" s="124"/>
      <c r="C37" s="124"/>
      <c r="D37" s="124"/>
      <c r="E37" s="124"/>
      <c r="F37" s="124"/>
      <c r="G37" s="124"/>
      <c r="H37" s="124"/>
      <c r="I37" s="124"/>
      <c r="J37" s="124"/>
      <c r="K37" s="124"/>
      <c r="L37" s="124"/>
      <c r="M37" s="124"/>
      <c r="N37" s="124"/>
      <c r="O37" s="124"/>
      <c r="P37" s="124"/>
      <c r="Q37" s="159"/>
      <c r="R37" s="135"/>
      <c r="S37" s="124"/>
      <c r="T37" s="124"/>
      <c r="U37" s="124"/>
      <c r="V37" s="124"/>
      <c r="W37" s="135"/>
      <c r="X37" s="182">
        <v>5</v>
      </c>
      <c r="Y37" s="217"/>
      <c r="Z37" s="201"/>
      <c r="AA37" s="182"/>
      <c r="AB37" s="221"/>
      <c r="AC37" s="258"/>
      <c r="AD37" s="210"/>
      <c r="AE37" s="108">
        <f t="shared" si="7"/>
        <v>0</v>
      </c>
      <c r="AF37" s="182"/>
      <c r="AG37" s="216"/>
      <c r="AH37" s="202"/>
      <c r="AI37" s="203"/>
      <c r="AJ37" s="108">
        <f>AE37</f>
        <v>0</v>
      </c>
      <c r="AK37" s="301"/>
      <c r="AL37" s="258">
        <f t="shared" si="8"/>
        <v>0</v>
      </c>
      <c r="AM37" s="221">
        <v>5</v>
      </c>
      <c r="AN37" s="22"/>
      <c r="AR37" s="12"/>
      <c r="AS37" s="11"/>
      <c r="AT37" s="11"/>
      <c r="AU37" s="11"/>
      <c r="AV37" s="12"/>
      <c r="AW37" s="2"/>
    </row>
    <row r="38" spans="1:54" ht="18.75" x14ac:dyDescent="0.3">
      <c r="A38" s="124"/>
      <c r="B38" s="124"/>
      <c r="C38" s="124"/>
      <c r="D38" s="124"/>
      <c r="E38" s="124"/>
      <c r="F38" s="124"/>
      <c r="G38" s="124"/>
      <c r="H38" s="124"/>
      <c r="I38" s="124"/>
      <c r="J38" s="124"/>
      <c r="K38" s="124"/>
      <c r="L38" s="124"/>
      <c r="M38" s="124"/>
      <c r="N38" s="124"/>
      <c r="O38" s="124"/>
      <c r="P38" s="124"/>
      <c r="Q38" s="124"/>
      <c r="R38" s="135"/>
      <c r="S38" s="124"/>
      <c r="T38" s="124"/>
      <c r="U38" s="124"/>
      <c r="V38" s="124"/>
      <c r="W38" s="135"/>
      <c r="X38" s="182">
        <v>6</v>
      </c>
      <c r="Y38" s="200"/>
      <c r="Z38" s="201"/>
      <c r="AA38" s="182"/>
      <c r="AB38" s="182"/>
      <c r="AC38" s="277"/>
      <c r="AD38" s="108"/>
      <c r="AE38" s="108">
        <f t="shared" si="7"/>
        <v>0</v>
      </c>
      <c r="AF38" s="182"/>
      <c r="AG38" s="216"/>
      <c r="AH38" s="202"/>
      <c r="AI38" s="203"/>
      <c r="AJ38" s="108">
        <v>0</v>
      </c>
      <c r="AK38" s="301"/>
      <c r="AL38" s="258">
        <f t="shared" si="8"/>
        <v>0</v>
      </c>
      <c r="AM38" s="221">
        <v>6</v>
      </c>
      <c r="AN38" s="16"/>
      <c r="AR38" s="2"/>
      <c r="AS38" s="11"/>
      <c r="AT38" s="11"/>
      <c r="AU38" s="11"/>
      <c r="AV38" s="12"/>
      <c r="AW38" s="2"/>
      <c r="BA38" s="7"/>
    </row>
    <row r="39" spans="1:54" ht="18.75" x14ac:dyDescent="0.3">
      <c r="A39" s="124"/>
      <c r="B39" s="124"/>
      <c r="C39" s="124"/>
      <c r="D39" s="124"/>
      <c r="E39" s="124"/>
      <c r="F39" s="124"/>
      <c r="G39" s="124"/>
      <c r="H39" s="124"/>
      <c r="I39" s="124"/>
      <c r="J39" s="124"/>
      <c r="K39" s="124"/>
      <c r="L39" s="124"/>
      <c r="M39" s="124"/>
      <c r="N39" s="124"/>
      <c r="O39" s="124"/>
      <c r="P39" s="124"/>
      <c r="Q39" s="124"/>
      <c r="R39" s="135"/>
      <c r="S39" s="124"/>
      <c r="T39" s="124"/>
      <c r="U39" s="124"/>
      <c r="V39" s="124"/>
      <c r="W39" s="135"/>
      <c r="X39" s="182">
        <v>7</v>
      </c>
      <c r="Y39" s="200"/>
      <c r="Z39" s="201"/>
      <c r="AA39" s="182"/>
      <c r="AB39" s="182"/>
      <c r="AC39" s="277"/>
      <c r="AD39" s="108"/>
      <c r="AE39" s="108">
        <f t="shared" si="7"/>
        <v>0</v>
      </c>
      <c r="AF39" s="182"/>
      <c r="AG39" s="182"/>
      <c r="AH39" s="202"/>
      <c r="AI39" s="203"/>
      <c r="AJ39" s="108">
        <f t="shared" ref="AJ39:AJ62" si="10">AE39</f>
        <v>0</v>
      </c>
      <c r="AK39" s="301"/>
      <c r="AL39" s="258">
        <f t="shared" si="8"/>
        <v>0</v>
      </c>
      <c r="AM39" s="221">
        <v>7</v>
      </c>
      <c r="AN39" s="16"/>
      <c r="AR39" s="2"/>
      <c r="AS39" s="11"/>
      <c r="AT39" s="11"/>
      <c r="AU39" s="11"/>
      <c r="AV39" s="12"/>
      <c r="AW39" s="2"/>
      <c r="BA39" s="7"/>
    </row>
    <row r="40" spans="1:54" ht="18.75" x14ac:dyDescent="0.3">
      <c r="A40" s="124"/>
      <c r="B40" s="124"/>
      <c r="C40" s="124"/>
      <c r="D40" s="124"/>
      <c r="E40" s="124"/>
      <c r="F40" s="124"/>
      <c r="G40" s="124"/>
      <c r="H40" s="124"/>
      <c r="I40" s="124"/>
      <c r="J40" s="124"/>
      <c r="K40" s="124"/>
      <c r="L40" s="124"/>
      <c r="M40" s="124"/>
      <c r="N40" s="324"/>
      <c r="O40" s="324"/>
      <c r="P40" s="124"/>
      <c r="Q40" s="124"/>
      <c r="R40" s="135"/>
      <c r="S40" s="124"/>
      <c r="T40" s="124"/>
      <c r="U40" s="124"/>
      <c r="V40" s="124"/>
      <c r="W40" s="135"/>
      <c r="X40" s="182">
        <v>8</v>
      </c>
      <c r="Y40" s="200"/>
      <c r="Z40" s="201"/>
      <c r="AA40" s="182"/>
      <c r="AB40" s="182"/>
      <c r="AC40" s="258"/>
      <c r="AD40" s="210"/>
      <c r="AE40" s="108">
        <f t="shared" si="7"/>
        <v>0</v>
      </c>
      <c r="AF40" s="182"/>
      <c r="AG40" s="182"/>
      <c r="AH40" s="202"/>
      <c r="AI40" s="203"/>
      <c r="AJ40" s="108">
        <f t="shared" si="10"/>
        <v>0</v>
      </c>
      <c r="AK40" s="301"/>
      <c r="AL40" s="258">
        <f t="shared" si="8"/>
        <v>0</v>
      </c>
      <c r="AM40" s="221">
        <v>8</v>
      </c>
      <c r="AN40" s="16"/>
      <c r="AR40" s="2"/>
      <c r="AS40" s="11"/>
      <c r="AT40" s="11"/>
      <c r="AU40" s="11"/>
      <c r="AV40" s="12"/>
      <c r="AW40" s="2"/>
    </row>
    <row r="41" spans="1:54" ht="18.75" x14ac:dyDescent="0.3">
      <c r="A41" s="124"/>
      <c r="B41" s="124"/>
      <c r="C41" s="124"/>
      <c r="D41" s="124"/>
      <c r="E41" s="124"/>
      <c r="F41" s="124"/>
      <c r="G41" s="124"/>
      <c r="H41" s="124"/>
      <c r="I41" s="124"/>
      <c r="J41" s="124"/>
      <c r="K41" s="124"/>
      <c r="L41" s="124"/>
      <c r="M41" s="124"/>
      <c r="N41" s="324"/>
      <c r="O41" s="324"/>
      <c r="P41" s="124"/>
      <c r="Q41" s="124"/>
      <c r="R41" s="135"/>
      <c r="S41" s="124"/>
      <c r="T41" s="124"/>
      <c r="U41" s="124"/>
      <c r="V41" s="124"/>
      <c r="W41" s="135"/>
      <c r="X41" s="182">
        <v>9</v>
      </c>
      <c r="Y41" s="200"/>
      <c r="Z41" s="201"/>
      <c r="AA41" s="182"/>
      <c r="AB41" s="182"/>
      <c r="AC41" s="277"/>
      <c r="AD41" s="108"/>
      <c r="AE41" s="108">
        <f t="shared" si="7"/>
        <v>0</v>
      </c>
      <c r="AF41" s="182"/>
      <c r="AG41" s="182"/>
      <c r="AH41" s="202"/>
      <c r="AI41" s="203"/>
      <c r="AJ41" s="108">
        <f t="shared" si="10"/>
        <v>0</v>
      </c>
      <c r="AK41" s="301"/>
      <c r="AL41" s="258">
        <f t="shared" si="8"/>
        <v>0</v>
      </c>
      <c r="AM41" s="221">
        <v>9</v>
      </c>
      <c r="AN41" s="16"/>
      <c r="AR41" s="2"/>
      <c r="AS41" s="11"/>
      <c r="AT41" s="11"/>
      <c r="AU41" s="11"/>
      <c r="AV41" s="12"/>
      <c r="AW41" s="2"/>
    </row>
    <row r="42" spans="1:54" ht="18.75" x14ac:dyDescent="0.3">
      <c r="A42" s="124"/>
      <c r="B42" s="124"/>
      <c r="C42" s="124"/>
      <c r="D42" s="124"/>
      <c r="E42" s="124"/>
      <c r="F42" s="124"/>
      <c r="G42" s="124"/>
      <c r="H42" s="124"/>
      <c r="I42" s="124" t="s">
        <v>14</v>
      </c>
      <c r="J42" s="124"/>
      <c r="K42" s="124"/>
      <c r="L42" s="124"/>
      <c r="M42" s="124"/>
      <c r="N42" s="324"/>
      <c r="O42" s="324"/>
      <c r="P42" s="124"/>
      <c r="Q42" s="124"/>
      <c r="R42" s="135"/>
      <c r="S42" s="124"/>
      <c r="T42" s="124"/>
      <c r="U42" s="124"/>
      <c r="V42" s="124"/>
      <c r="W42" s="135"/>
      <c r="X42" s="182">
        <v>10</v>
      </c>
      <c r="Y42" s="200"/>
      <c r="Z42" s="201"/>
      <c r="AA42" s="182"/>
      <c r="AB42" s="182"/>
      <c r="AC42" s="258"/>
      <c r="AD42" s="210"/>
      <c r="AE42" s="108">
        <f t="shared" si="7"/>
        <v>0</v>
      </c>
      <c r="AF42" s="182"/>
      <c r="AG42" s="182"/>
      <c r="AH42" s="202"/>
      <c r="AI42" s="203"/>
      <c r="AJ42" s="108">
        <f t="shared" si="10"/>
        <v>0</v>
      </c>
      <c r="AK42" s="163"/>
      <c r="AL42" s="258">
        <f t="shared" si="8"/>
        <v>0</v>
      </c>
      <c r="AM42" s="221">
        <v>10</v>
      </c>
      <c r="AN42" s="16"/>
      <c r="AR42" s="2"/>
      <c r="AS42" s="11"/>
      <c r="AT42" s="11"/>
      <c r="AU42" s="11"/>
      <c r="AV42" s="2"/>
      <c r="AW42" s="2"/>
    </row>
    <row r="43" spans="1:54" ht="15.75" x14ac:dyDescent="0.25">
      <c r="A43" s="124"/>
      <c r="B43" s="124"/>
      <c r="C43" s="279"/>
      <c r="D43" s="279"/>
      <c r="E43" s="124"/>
      <c r="F43" s="124"/>
      <c r="G43" s="124"/>
      <c r="H43" s="124"/>
      <c r="I43" s="124"/>
      <c r="J43" s="124"/>
      <c r="K43" s="124"/>
      <c r="L43" s="124"/>
      <c r="M43" s="124"/>
      <c r="N43" s="324"/>
      <c r="O43" s="325"/>
      <c r="P43" s="124"/>
      <c r="Q43" s="124"/>
      <c r="R43" s="135"/>
      <c r="S43" s="124"/>
      <c r="T43" s="124"/>
      <c r="U43" s="124"/>
      <c r="V43" s="124"/>
      <c r="W43" s="135"/>
      <c r="X43" s="182">
        <v>11</v>
      </c>
      <c r="Y43" s="200"/>
      <c r="Z43" s="201"/>
      <c r="AA43" s="182"/>
      <c r="AB43" s="182"/>
      <c r="AC43" s="258"/>
      <c r="AD43" s="210"/>
      <c r="AE43" s="108">
        <f t="shared" si="7"/>
        <v>0</v>
      </c>
      <c r="AF43" s="182"/>
      <c r="AG43" s="182"/>
      <c r="AH43" s="202"/>
      <c r="AI43" s="203"/>
      <c r="AJ43" s="108">
        <f t="shared" si="10"/>
        <v>0</v>
      </c>
      <c r="AK43" s="23"/>
      <c r="AL43" s="258">
        <f t="shared" si="8"/>
        <v>0</v>
      </c>
      <c r="AM43" s="221">
        <v>11</v>
      </c>
      <c r="AN43" s="38"/>
      <c r="AR43" s="2"/>
      <c r="AS43" s="11"/>
      <c r="AT43" s="11"/>
      <c r="AU43" s="11"/>
      <c r="AV43" s="2"/>
    </row>
    <row r="44" spans="1:54" ht="15.75" x14ac:dyDescent="0.25">
      <c r="A44" s="124"/>
      <c r="B44" s="124"/>
      <c r="C44" s="124"/>
      <c r="D44" s="124"/>
      <c r="E44" s="124"/>
      <c r="F44" s="124"/>
      <c r="G44" s="124"/>
      <c r="H44" s="124"/>
      <c r="I44" s="124"/>
      <c r="J44" s="135"/>
      <c r="K44" s="124"/>
      <c r="L44" s="124"/>
      <c r="M44" s="124"/>
      <c r="N44" s="324"/>
      <c r="O44" s="324"/>
      <c r="P44" s="124"/>
      <c r="Q44" s="124"/>
      <c r="R44" s="135"/>
      <c r="S44" s="124"/>
      <c r="T44" s="124"/>
      <c r="U44" s="124"/>
      <c r="V44" s="124"/>
      <c r="W44" s="135"/>
      <c r="X44" s="182">
        <v>12</v>
      </c>
      <c r="Y44" s="200"/>
      <c r="Z44" s="201"/>
      <c r="AA44" s="221"/>
      <c r="AB44" s="182"/>
      <c r="AC44" s="258"/>
      <c r="AD44" s="210"/>
      <c r="AE44" s="108">
        <f t="shared" si="7"/>
        <v>0</v>
      </c>
      <c r="AF44" s="182"/>
      <c r="AG44" s="182"/>
      <c r="AH44" s="202"/>
      <c r="AI44" s="203"/>
      <c r="AJ44" s="108">
        <f t="shared" si="10"/>
        <v>0</v>
      </c>
      <c r="AK44" s="25"/>
      <c r="AL44" s="258">
        <f t="shared" si="8"/>
        <v>0</v>
      </c>
      <c r="AM44" s="221">
        <v>12</v>
      </c>
      <c r="AN44" s="28"/>
      <c r="AR44" s="2"/>
      <c r="AS44" s="11"/>
      <c r="AT44" s="11"/>
      <c r="AU44" s="11"/>
      <c r="AV44" s="2"/>
    </row>
    <row r="45" spans="1:54" ht="15.75" x14ac:dyDescent="0.25">
      <c r="A45" s="135"/>
      <c r="B45" s="135"/>
      <c r="C45" s="135"/>
      <c r="D45" s="135"/>
      <c r="E45" s="135"/>
      <c r="F45" s="135"/>
      <c r="G45" s="135"/>
      <c r="H45" s="135"/>
      <c r="I45" s="135"/>
      <c r="J45" s="135"/>
      <c r="K45" s="135"/>
      <c r="L45" s="135"/>
      <c r="M45" s="135"/>
      <c r="N45" s="326"/>
      <c r="O45" s="327"/>
      <c r="P45" s="135"/>
      <c r="Q45" s="124"/>
      <c r="R45" s="135"/>
      <c r="S45" s="124"/>
      <c r="T45" s="124"/>
      <c r="U45" s="124"/>
      <c r="V45" s="124"/>
      <c r="W45" s="135"/>
      <c r="X45" s="182">
        <v>13</v>
      </c>
      <c r="Y45" s="200"/>
      <c r="Z45" s="201"/>
      <c r="AA45" s="182"/>
      <c r="AB45" s="182"/>
      <c r="AC45" s="258"/>
      <c r="AD45" s="210"/>
      <c r="AE45" s="108">
        <f t="shared" si="7"/>
        <v>0</v>
      </c>
      <c r="AF45" s="182"/>
      <c r="AG45" s="208"/>
      <c r="AH45" s="202"/>
      <c r="AI45" s="203"/>
      <c r="AJ45" s="108">
        <f t="shared" si="10"/>
        <v>0</v>
      </c>
      <c r="AK45" s="25"/>
      <c r="AL45" s="258">
        <f t="shared" si="8"/>
        <v>0</v>
      </c>
      <c r="AM45" s="221">
        <v>13</v>
      </c>
      <c r="AN45" s="32"/>
      <c r="AR45" s="2"/>
      <c r="AS45" s="11"/>
      <c r="AT45" s="11"/>
      <c r="AU45" s="11"/>
      <c r="AV45" s="2"/>
    </row>
    <row r="46" spans="1:54" ht="18.75" x14ac:dyDescent="0.3">
      <c r="A46" s="135"/>
      <c r="B46" s="135"/>
      <c r="C46" s="135"/>
      <c r="D46" s="135"/>
      <c r="E46" s="135"/>
      <c r="F46" s="135"/>
      <c r="G46" s="135"/>
      <c r="H46" s="135"/>
      <c r="I46" s="135"/>
      <c r="J46" s="124"/>
      <c r="K46" s="135"/>
      <c r="L46" s="135"/>
      <c r="M46" s="135"/>
      <c r="N46" s="135"/>
      <c r="O46" s="135"/>
      <c r="P46" s="135" t="s">
        <v>14</v>
      </c>
      <c r="Q46" s="124"/>
      <c r="R46" s="135"/>
      <c r="S46" s="124"/>
      <c r="T46" s="124"/>
      <c r="U46" s="124"/>
      <c r="V46" s="124"/>
      <c r="W46" s="135"/>
      <c r="X46" s="182">
        <v>14</v>
      </c>
      <c r="Y46" s="200"/>
      <c r="Z46" s="201"/>
      <c r="AA46" s="182"/>
      <c r="AB46" s="182"/>
      <c r="AC46" s="258"/>
      <c r="AD46" s="210"/>
      <c r="AE46" s="108">
        <f t="shared" si="7"/>
        <v>0</v>
      </c>
      <c r="AF46" s="182"/>
      <c r="AG46" s="226"/>
      <c r="AH46" s="202"/>
      <c r="AI46" s="203"/>
      <c r="AJ46" s="108">
        <f t="shared" si="10"/>
        <v>0</v>
      </c>
      <c r="AK46" s="163"/>
      <c r="AL46" s="258">
        <f t="shared" si="8"/>
        <v>0</v>
      </c>
      <c r="AM46" s="221">
        <v>14</v>
      </c>
      <c r="AN46" s="34"/>
      <c r="AR46" s="2"/>
      <c r="AS46" s="11"/>
      <c r="AT46" s="11"/>
      <c r="AU46" s="11"/>
      <c r="AV46" s="2"/>
    </row>
    <row r="47" spans="1:54" ht="15.75" x14ac:dyDescent="0.25">
      <c r="A47" s="280"/>
      <c r="B47" s="135"/>
      <c r="C47" s="135"/>
      <c r="D47" s="135"/>
      <c r="E47" s="135"/>
      <c r="F47" s="281"/>
      <c r="G47" s="135"/>
      <c r="H47" s="135"/>
      <c r="I47" s="135"/>
      <c r="J47" s="135"/>
      <c r="K47" s="135"/>
      <c r="L47" s="135"/>
      <c r="M47" s="135"/>
      <c r="N47" s="135"/>
      <c r="O47" s="135"/>
      <c r="P47" s="135"/>
      <c r="Q47" s="124"/>
      <c r="R47" s="135"/>
      <c r="S47" s="124"/>
      <c r="T47" s="124"/>
      <c r="U47" s="124"/>
      <c r="V47" s="124"/>
      <c r="W47" s="135"/>
      <c r="X47" s="182">
        <v>15</v>
      </c>
      <c r="Y47" s="200"/>
      <c r="Z47" s="201"/>
      <c r="AA47" s="182"/>
      <c r="AB47" s="228"/>
      <c r="AC47" s="258"/>
      <c r="AD47" s="210"/>
      <c r="AE47" s="108">
        <f t="shared" si="7"/>
        <v>0</v>
      </c>
      <c r="AF47" s="182"/>
      <c r="AG47" s="182"/>
      <c r="AH47" s="202"/>
      <c r="AI47" s="203"/>
      <c r="AJ47" s="108">
        <f t="shared" si="10"/>
        <v>0</v>
      </c>
      <c r="AK47" s="23"/>
      <c r="AL47" s="258">
        <f t="shared" si="8"/>
        <v>0</v>
      </c>
      <c r="AM47" s="221">
        <v>15</v>
      </c>
      <c r="AN47" s="24"/>
      <c r="BA47" s="7"/>
    </row>
    <row r="48" spans="1:54" ht="15.75" x14ac:dyDescent="0.25">
      <c r="A48" s="280"/>
      <c r="B48" s="135"/>
      <c r="C48" s="135"/>
      <c r="D48" s="135"/>
      <c r="E48" s="135"/>
      <c r="F48" s="135"/>
      <c r="G48" s="135"/>
      <c r="H48" s="135"/>
      <c r="I48" s="135"/>
      <c r="J48" s="135"/>
      <c r="K48" s="135"/>
      <c r="L48" s="135"/>
      <c r="M48" s="135"/>
      <c r="N48" s="135"/>
      <c r="O48" s="135"/>
      <c r="P48" s="135"/>
      <c r="Q48" s="124"/>
      <c r="R48" s="135"/>
      <c r="S48" s="124"/>
      <c r="T48" s="124"/>
      <c r="U48" s="124"/>
      <c r="V48" s="124"/>
      <c r="W48" s="135"/>
      <c r="X48" s="182">
        <v>16</v>
      </c>
      <c r="Y48" s="200"/>
      <c r="Z48" s="201"/>
      <c r="AA48" s="182"/>
      <c r="AB48" s="182"/>
      <c r="AC48" s="258"/>
      <c r="AD48" s="210"/>
      <c r="AE48" s="108">
        <f t="shared" si="7"/>
        <v>0</v>
      </c>
      <c r="AF48" s="182"/>
      <c r="AG48" s="182"/>
      <c r="AH48" s="202"/>
      <c r="AI48" s="203"/>
      <c r="AJ48" s="108">
        <f t="shared" si="10"/>
        <v>0</v>
      </c>
      <c r="AK48" s="23"/>
      <c r="AL48" s="258">
        <f t="shared" si="8"/>
        <v>0</v>
      </c>
      <c r="AM48" s="221">
        <v>16</v>
      </c>
      <c r="AN48" s="24"/>
      <c r="AY48" s="7"/>
      <c r="BA48" s="7"/>
    </row>
    <row r="49" spans="1:54" ht="18.75" x14ac:dyDescent="0.3">
      <c r="A49" s="280"/>
      <c r="B49" s="135"/>
      <c r="C49" s="135"/>
      <c r="D49" s="135"/>
      <c r="E49" s="135"/>
      <c r="F49" s="281"/>
      <c r="G49" s="135"/>
      <c r="H49" s="135"/>
      <c r="I49" s="135"/>
      <c r="J49" s="135"/>
      <c r="K49" s="135"/>
      <c r="L49" s="135"/>
      <c r="M49" s="135"/>
      <c r="N49" s="135"/>
      <c r="O49" s="135"/>
      <c r="P49" s="135"/>
      <c r="Q49" s="124"/>
      <c r="R49" s="135"/>
      <c r="S49" s="124"/>
      <c r="T49" s="124"/>
      <c r="U49" s="124"/>
      <c r="V49" s="124"/>
      <c r="W49" s="135"/>
      <c r="X49" s="182">
        <v>17</v>
      </c>
      <c r="Y49" s="223"/>
      <c r="Z49" s="224"/>
      <c r="AA49" s="208"/>
      <c r="AB49" s="208"/>
      <c r="AC49" s="277"/>
      <c r="AD49" s="108"/>
      <c r="AE49" s="108">
        <f t="shared" si="7"/>
        <v>0</v>
      </c>
      <c r="AF49" s="208"/>
      <c r="AG49" s="208"/>
      <c r="AH49" s="202"/>
      <c r="AI49" s="203"/>
      <c r="AJ49" s="108">
        <f t="shared" si="10"/>
        <v>0</v>
      </c>
      <c r="AK49" s="163"/>
      <c r="AL49" s="258">
        <f t="shared" si="8"/>
        <v>0</v>
      </c>
      <c r="AM49" s="221">
        <v>17</v>
      </c>
      <c r="AN49" s="22"/>
      <c r="AY49" s="7"/>
      <c r="BA49" s="7"/>
    </row>
    <row r="50" spans="1:54" ht="18.75" x14ac:dyDescent="0.3">
      <c r="A50" s="280"/>
      <c r="B50" s="135"/>
      <c r="C50" s="135"/>
      <c r="D50" s="135"/>
      <c r="E50" s="135"/>
      <c r="F50" s="281"/>
      <c r="G50" s="135"/>
      <c r="H50" s="135"/>
      <c r="I50" s="135"/>
      <c r="J50" s="135"/>
      <c r="K50" s="135"/>
      <c r="L50" s="135"/>
      <c r="M50" s="135"/>
      <c r="N50" s="135"/>
      <c r="O50" s="135"/>
      <c r="P50" s="135"/>
      <c r="Q50" s="124"/>
      <c r="R50" s="135"/>
      <c r="S50" s="124"/>
      <c r="T50" s="124"/>
      <c r="U50" s="124"/>
      <c r="V50" s="124"/>
      <c r="W50" s="135"/>
      <c r="X50" s="182">
        <v>18</v>
      </c>
      <c r="Y50" s="200"/>
      <c r="Z50" s="201"/>
      <c r="AA50" s="182"/>
      <c r="AB50" s="182"/>
      <c r="AC50" s="277"/>
      <c r="AD50" s="108"/>
      <c r="AE50" s="108">
        <f t="shared" si="7"/>
        <v>0</v>
      </c>
      <c r="AF50" s="182"/>
      <c r="AG50" s="216"/>
      <c r="AH50" s="202"/>
      <c r="AI50" s="203"/>
      <c r="AJ50" s="108">
        <f t="shared" si="10"/>
        <v>0</v>
      </c>
      <c r="AK50" s="163"/>
      <c r="AL50" s="258">
        <f t="shared" si="8"/>
        <v>0</v>
      </c>
      <c r="AM50" s="221">
        <v>18</v>
      </c>
      <c r="AN50" s="22"/>
      <c r="AY50" s="2"/>
    </row>
    <row r="51" spans="1:54" ht="18.75" x14ac:dyDescent="0.3">
      <c r="A51" s="280"/>
      <c r="B51" s="135"/>
      <c r="C51" s="135"/>
      <c r="D51" s="135"/>
      <c r="E51" s="135"/>
      <c r="F51" s="281"/>
      <c r="G51" s="135"/>
      <c r="H51" s="135"/>
      <c r="I51" s="135"/>
      <c r="J51" s="135"/>
      <c r="K51" s="135"/>
      <c r="L51" s="135"/>
      <c r="M51" s="135"/>
      <c r="N51" s="135"/>
      <c r="O51" s="135"/>
      <c r="P51" s="135"/>
      <c r="Q51" s="124"/>
      <c r="R51" s="135"/>
      <c r="S51" s="124"/>
      <c r="T51" s="124"/>
      <c r="U51" s="124"/>
      <c r="V51" s="124"/>
      <c r="W51" s="135"/>
      <c r="X51" s="182">
        <v>19</v>
      </c>
      <c r="Y51" s="200"/>
      <c r="Z51" s="201"/>
      <c r="AA51" s="182"/>
      <c r="AB51" s="221"/>
      <c r="AC51" s="277"/>
      <c r="AD51" s="108"/>
      <c r="AE51" s="108">
        <f t="shared" si="7"/>
        <v>0</v>
      </c>
      <c r="AF51" s="182"/>
      <c r="AG51" s="182"/>
      <c r="AH51" s="202"/>
      <c r="AI51" s="203"/>
      <c r="AJ51" s="108">
        <f t="shared" si="10"/>
        <v>0</v>
      </c>
      <c r="AK51" s="163"/>
      <c r="AL51" s="258">
        <f t="shared" si="8"/>
        <v>0</v>
      </c>
      <c r="AM51" s="221">
        <v>19</v>
      </c>
      <c r="AN51" s="22"/>
      <c r="AR51" s="2"/>
      <c r="AS51" s="2"/>
      <c r="AT51" s="2"/>
      <c r="AU51" s="2"/>
      <c r="AV51" s="2"/>
      <c r="AY51" s="2"/>
      <c r="AZ51" s="2"/>
      <c r="BA51" s="2"/>
      <c r="BB51" s="2"/>
    </row>
    <row r="52" spans="1:54" ht="18.75" x14ac:dyDescent="0.3">
      <c r="A52" s="280"/>
      <c r="B52" s="135"/>
      <c r="C52" s="135"/>
      <c r="D52" s="135"/>
      <c r="E52" s="135"/>
      <c r="F52" s="135"/>
      <c r="G52" s="135"/>
      <c r="H52" s="135"/>
      <c r="I52" s="135"/>
      <c r="J52" s="135"/>
      <c r="K52" s="135"/>
      <c r="L52" s="135"/>
      <c r="M52" s="135"/>
      <c r="N52" s="135"/>
      <c r="O52" s="135"/>
      <c r="P52" s="135"/>
      <c r="Q52" s="124"/>
      <c r="R52" s="135"/>
      <c r="S52" s="124"/>
      <c r="T52" s="124"/>
      <c r="U52" s="124"/>
      <c r="V52" s="124"/>
      <c r="W52" s="135"/>
      <c r="X52" s="182">
        <v>20</v>
      </c>
      <c r="Y52" s="200"/>
      <c r="Z52" s="201"/>
      <c r="AA52" s="182"/>
      <c r="AB52" s="182"/>
      <c r="AC52" s="277"/>
      <c r="AD52" s="108"/>
      <c r="AE52" s="108">
        <f t="shared" si="7"/>
        <v>0</v>
      </c>
      <c r="AF52" s="182"/>
      <c r="AG52" s="182"/>
      <c r="AH52" s="202"/>
      <c r="AI52" s="203"/>
      <c r="AJ52" s="108">
        <f t="shared" si="10"/>
        <v>0</v>
      </c>
      <c r="AK52" s="163"/>
      <c r="AL52" s="258">
        <f t="shared" si="8"/>
        <v>0</v>
      </c>
      <c r="AM52" s="221">
        <v>20</v>
      </c>
      <c r="AN52" s="22"/>
      <c r="AR52" s="92"/>
      <c r="AS52" s="11"/>
      <c r="AT52" s="11"/>
      <c r="AU52" s="2"/>
      <c r="AV52" s="2"/>
      <c r="AY52" s="2"/>
      <c r="AZ52" s="2"/>
      <c r="BA52" s="12"/>
      <c r="BB52" s="2"/>
    </row>
    <row r="53" spans="1:54" ht="18.75" x14ac:dyDescent="0.3">
      <c r="A53" s="280"/>
      <c r="B53" s="135"/>
      <c r="C53" s="135"/>
      <c r="D53" s="135"/>
      <c r="E53" s="135"/>
      <c r="F53" s="135"/>
      <c r="G53" s="135"/>
      <c r="H53" s="135"/>
      <c r="I53" s="135"/>
      <c r="J53" s="135"/>
      <c r="K53" s="135"/>
      <c r="L53" s="135"/>
      <c r="M53" s="135"/>
      <c r="N53" s="135"/>
      <c r="O53" s="135"/>
      <c r="P53" s="135"/>
      <c r="Q53" s="124"/>
      <c r="R53" s="135"/>
      <c r="S53" s="124"/>
      <c r="T53" s="124"/>
      <c r="U53" s="124"/>
      <c r="V53" s="124"/>
      <c r="W53" s="135"/>
      <c r="X53" s="182">
        <v>21</v>
      </c>
      <c r="Y53" s="200"/>
      <c r="Z53" s="201"/>
      <c r="AA53" s="182"/>
      <c r="AB53" s="225"/>
      <c r="AC53" s="277"/>
      <c r="AD53" s="108"/>
      <c r="AE53" s="108">
        <f t="shared" si="7"/>
        <v>0</v>
      </c>
      <c r="AF53" s="182"/>
      <c r="AG53" s="182"/>
      <c r="AH53" s="202"/>
      <c r="AI53" s="203"/>
      <c r="AJ53" s="108">
        <f t="shared" si="10"/>
        <v>0</v>
      </c>
      <c r="AK53" s="163"/>
      <c r="AL53" s="258">
        <f t="shared" si="8"/>
        <v>0</v>
      </c>
      <c r="AM53" s="221">
        <v>21</v>
      </c>
      <c r="AN53" s="16"/>
      <c r="AR53" s="92"/>
      <c r="AS53" s="11"/>
      <c r="AT53" s="11"/>
      <c r="AU53" s="2"/>
      <c r="AV53" s="2"/>
      <c r="AY53" s="12"/>
      <c r="AZ53" s="2"/>
      <c r="BA53" s="12"/>
      <c r="BB53" s="2"/>
    </row>
    <row r="54" spans="1:54" ht="18.75" x14ac:dyDescent="0.3">
      <c r="A54" s="280"/>
      <c r="B54" s="135"/>
      <c r="C54" s="135"/>
      <c r="D54" s="135"/>
      <c r="E54" s="135"/>
      <c r="F54" s="135"/>
      <c r="G54" s="135"/>
      <c r="H54" s="135"/>
      <c r="I54" s="135"/>
      <c r="J54" s="135"/>
      <c r="K54" s="135"/>
      <c r="L54" s="135"/>
      <c r="M54" s="135"/>
      <c r="N54" s="135"/>
      <c r="O54" s="135"/>
      <c r="P54" s="135"/>
      <c r="Q54" s="124"/>
      <c r="R54" s="135"/>
      <c r="S54" s="124"/>
      <c r="T54" s="124"/>
      <c r="U54" s="124"/>
      <c r="V54" s="124"/>
      <c r="W54" s="135"/>
      <c r="X54" s="182">
        <v>22</v>
      </c>
      <c r="Y54" s="200"/>
      <c r="Z54" s="201"/>
      <c r="AA54" s="182"/>
      <c r="AB54" s="182"/>
      <c r="AC54" s="277"/>
      <c r="AD54" s="108"/>
      <c r="AE54" s="108">
        <f t="shared" si="7"/>
        <v>0</v>
      </c>
      <c r="AF54" s="182"/>
      <c r="AG54" s="182"/>
      <c r="AH54" s="202"/>
      <c r="AI54" s="203"/>
      <c r="AJ54" s="108">
        <f t="shared" si="10"/>
        <v>0</v>
      </c>
      <c r="AK54" s="163"/>
      <c r="AL54" s="258">
        <f t="shared" si="8"/>
        <v>0</v>
      </c>
      <c r="AM54" s="221">
        <v>22</v>
      </c>
      <c r="AN54" s="22"/>
      <c r="AR54" s="92"/>
      <c r="AS54" s="11"/>
      <c r="AT54" s="11"/>
      <c r="AU54" s="2"/>
      <c r="AV54" s="2"/>
      <c r="AY54" s="12"/>
      <c r="AZ54" s="2"/>
      <c r="BA54" s="12"/>
      <c r="BB54" s="2"/>
    </row>
    <row r="55" spans="1:54" ht="18.75" x14ac:dyDescent="0.3">
      <c r="A55" s="280"/>
      <c r="B55" s="135"/>
      <c r="C55" s="135"/>
      <c r="D55" s="135"/>
      <c r="E55" s="135"/>
      <c r="F55" s="135"/>
      <c r="G55" s="135"/>
      <c r="H55" s="135"/>
      <c r="I55" s="135"/>
      <c r="J55" s="135"/>
      <c r="K55" s="135"/>
      <c r="L55" s="135"/>
      <c r="M55" s="135"/>
      <c r="N55" s="135"/>
      <c r="O55" s="135"/>
      <c r="P55" s="135"/>
      <c r="Q55" s="124"/>
      <c r="R55" s="135"/>
      <c r="S55" s="124"/>
      <c r="T55" s="124"/>
      <c r="U55" s="124"/>
      <c r="V55" s="124"/>
      <c r="W55" s="135"/>
      <c r="X55" s="182">
        <v>23</v>
      </c>
      <c r="Y55" s="217"/>
      <c r="Z55" s="201"/>
      <c r="AA55" s="182"/>
      <c r="AB55" s="221"/>
      <c r="AC55" s="277"/>
      <c r="AD55" s="108"/>
      <c r="AE55" s="108">
        <f t="shared" si="7"/>
        <v>0</v>
      </c>
      <c r="AF55" s="182"/>
      <c r="AG55" s="216"/>
      <c r="AH55" s="202"/>
      <c r="AI55" s="203"/>
      <c r="AJ55" s="108">
        <f t="shared" si="10"/>
        <v>0</v>
      </c>
      <c r="AK55" s="163"/>
      <c r="AL55" s="258">
        <f t="shared" si="8"/>
        <v>0</v>
      </c>
      <c r="AM55" s="221">
        <v>23</v>
      </c>
      <c r="AN55" s="22"/>
      <c r="AR55" s="92"/>
      <c r="AS55" s="2"/>
      <c r="AT55" s="2"/>
      <c r="AU55" s="2"/>
      <c r="AV55" s="2"/>
      <c r="AY55" s="2"/>
      <c r="AZ55" s="2"/>
      <c r="BA55" s="12"/>
      <c r="BB55" s="2"/>
    </row>
    <row r="56" spans="1:54" ht="18.75" x14ac:dyDescent="0.3">
      <c r="A56" s="280"/>
      <c r="B56" s="135"/>
      <c r="C56" s="135"/>
      <c r="D56" s="135"/>
      <c r="E56" s="135"/>
      <c r="F56" s="135"/>
      <c r="G56" s="135"/>
      <c r="H56" s="135"/>
      <c r="I56" s="135"/>
      <c r="J56" s="135"/>
      <c r="K56" s="135"/>
      <c r="L56" s="135"/>
      <c r="M56" s="135"/>
      <c r="N56" s="135"/>
      <c r="O56" s="135"/>
      <c r="P56" s="135"/>
      <c r="Q56" s="124"/>
      <c r="R56" s="135"/>
      <c r="S56" s="124"/>
      <c r="T56" s="124"/>
      <c r="U56" s="124"/>
      <c r="V56" s="124"/>
      <c r="W56" s="135"/>
      <c r="X56" s="182">
        <v>24</v>
      </c>
      <c r="Y56" s="200"/>
      <c r="Z56" s="201"/>
      <c r="AA56" s="182"/>
      <c r="AB56" s="182"/>
      <c r="AC56" s="277"/>
      <c r="AD56" s="108"/>
      <c r="AE56" s="108">
        <f t="shared" si="7"/>
        <v>0</v>
      </c>
      <c r="AF56" s="182"/>
      <c r="AG56" s="182"/>
      <c r="AH56" s="202"/>
      <c r="AI56" s="203"/>
      <c r="AJ56" s="108">
        <f t="shared" si="10"/>
        <v>0</v>
      </c>
      <c r="AK56" s="301"/>
      <c r="AL56" s="258">
        <f t="shared" si="8"/>
        <v>0</v>
      </c>
      <c r="AM56" s="221">
        <v>24</v>
      </c>
      <c r="AN56" s="22"/>
      <c r="AR56" s="2"/>
      <c r="AS56" s="2"/>
      <c r="AT56" s="2"/>
      <c r="AU56" s="2"/>
      <c r="AV56" s="2"/>
      <c r="AY56" s="2"/>
      <c r="AZ56" s="2"/>
      <c r="BA56" s="2"/>
      <c r="BB56" s="2"/>
    </row>
    <row r="57" spans="1:54" ht="18.75" x14ac:dyDescent="0.3">
      <c r="A57" s="280"/>
      <c r="B57" s="135"/>
      <c r="C57" s="135"/>
      <c r="D57" s="135"/>
      <c r="E57" s="135"/>
      <c r="F57" s="135"/>
      <c r="G57" s="135"/>
      <c r="H57" s="135"/>
      <c r="I57" s="135"/>
      <c r="J57" s="135"/>
      <c r="K57" s="135"/>
      <c r="L57" s="135"/>
      <c r="M57" s="135"/>
      <c r="N57" s="135"/>
      <c r="O57" s="135"/>
      <c r="P57" s="135"/>
      <c r="Q57" s="124"/>
      <c r="R57" s="135"/>
      <c r="S57" s="124"/>
      <c r="T57" s="124"/>
      <c r="U57" s="124"/>
      <c r="V57" s="124"/>
      <c r="W57" s="135"/>
      <c r="X57" s="182">
        <v>25</v>
      </c>
      <c r="Y57" s="200"/>
      <c r="Z57" s="201"/>
      <c r="AA57" s="182"/>
      <c r="AB57" s="182"/>
      <c r="AC57" s="277"/>
      <c r="AD57" s="108"/>
      <c r="AE57" s="108">
        <f t="shared" si="7"/>
        <v>0</v>
      </c>
      <c r="AF57" s="182"/>
      <c r="AG57" s="182"/>
      <c r="AH57" s="202"/>
      <c r="AI57" s="203"/>
      <c r="AJ57" s="108">
        <f t="shared" si="10"/>
        <v>0</v>
      </c>
      <c r="AK57" s="163"/>
      <c r="AL57" s="258">
        <f t="shared" si="8"/>
        <v>0</v>
      </c>
      <c r="AM57" s="221">
        <v>25</v>
      </c>
      <c r="AN57" s="36"/>
      <c r="AR57" s="92"/>
      <c r="AS57" s="2"/>
      <c r="AT57" s="2"/>
      <c r="AU57" s="2"/>
      <c r="AV57" s="2"/>
      <c r="AY57" s="2"/>
      <c r="AZ57" s="2"/>
      <c r="BA57" s="2"/>
      <c r="BB57" s="2"/>
    </row>
    <row r="58" spans="1:54" ht="18.75" x14ac:dyDescent="0.3">
      <c r="A58" s="280"/>
      <c r="B58" s="135"/>
      <c r="C58" s="135"/>
      <c r="D58" s="135"/>
      <c r="E58" s="135"/>
      <c r="F58" s="135"/>
      <c r="G58" s="135"/>
      <c r="H58" s="135"/>
      <c r="I58" s="135"/>
      <c r="J58" s="135"/>
      <c r="K58" s="135"/>
      <c r="L58" s="135"/>
      <c r="M58" s="135"/>
      <c r="N58" s="135"/>
      <c r="O58" s="135"/>
      <c r="P58" s="135"/>
      <c r="Q58" s="124"/>
      <c r="R58" s="135"/>
      <c r="S58" s="124"/>
      <c r="T58" s="124"/>
      <c r="U58" s="124"/>
      <c r="V58" s="124"/>
      <c r="W58" s="135"/>
      <c r="X58" s="182">
        <v>26</v>
      </c>
      <c r="Y58" s="200"/>
      <c r="Z58" s="201"/>
      <c r="AA58" s="182"/>
      <c r="AB58" s="182"/>
      <c r="AC58" s="277"/>
      <c r="AD58" s="108"/>
      <c r="AE58" s="108">
        <f t="shared" si="7"/>
        <v>0</v>
      </c>
      <c r="AF58" s="182"/>
      <c r="AG58" s="182"/>
      <c r="AH58" s="202"/>
      <c r="AI58" s="203"/>
      <c r="AJ58" s="108">
        <f t="shared" si="10"/>
        <v>0</v>
      </c>
      <c r="AK58" s="163"/>
      <c r="AL58" s="258">
        <f t="shared" si="8"/>
        <v>0</v>
      </c>
      <c r="AM58" s="221">
        <v>26</v>
      </c>
      <c r="AN58" s="16"/>
      <c r="AR58" s="2"/>
      <c r="AS58" s="2"/>
      <c r="AT58" s="2"/>
      <c r="AU58" s="2"/>
      <c r="AV58" s="2"/>
      <c r="AY58" s="2"/>
      <c r="AZ58" s="2"/>
      <c r="BA58" s="2"/>
      <c r="BB58" s="2"/>
    </row>
    <row r="59" spans="1:54" ht="18.75" x14ac:dyDescent="0.3">
      <c r="A59" s="280"/>
      <c r="B59" s="135"/>
      <c r="C59" s="135"/>
      <c r="D59" s="135"/>
      <c r="E59" s="135"/>
      <c r="F59" s="135"/>
      <c r="G59" s="135"/>
      <c r="H59" s="135"/>
      <c r="I59" s="135"/>
      <c r="J59" s="135"/>
      <c r="K59" s="135"/>
      <c r="L59" s="135"/>
      <c r="M59" s="135"/>
      <c r="N59" s="135"/>
      <c r="O59" s="135"/>
      <c r="P59" s="135"/>
      <c r="Q59" s="124"/>
      <c r="R59" s="135"/>
      <c r="S59" s="124"/>
      <c r="T59" s="124"/>
      <c r="U59" s="124"/>
      <c r="V59" s="124"/>
      <c r="W59" s="135"/>
      <c r="X59" s="182">
        <v>27</v>
      </c>
      <c r="Y59" s="200"/>
      <c r="Z59" s="201"/>
      <c r="AA59" s="182"/>
      <c r="AB59" s="182"/>
      <c r="AC59" s="277"/>
      <c r="AD59" s="108"/>
      <c r="AE59" s="108">
        <f t="shared" si="7"/>
        <v>0</v>
      </c>
      <c r="AF59" s="182"/>
      <c r="AG59" s="182"/>
      <c r="AH59" s="202"/>
      <c r="AI59" s="203"/>
      <c r="AJ59" s="108">
        <f t="shared" si="10"/>
        <v>0</v>
      </c>
      <c r="AK59" s="163"/>
      <c r="AL59" s="258">
        <f t="shared" si="8"/>
        <v>0</v>
      </c>
      <c r="AM59" s="221">
        <v>27</v>
      </c>
      <c r="AN59" s="16"/>
      <c r="AR59" s="2"/>
      <c r="AS59" s="2"/>
      <c r="AT59" s="2"/>
      <c r="AU59" s="2"/>
      <c r="AV59" s="12"/>
      <c r="AY59" s="2"/>
      <c r="AZ59" s="2"/>
      <c r="BA59" s="2"/>
      <c r="BB59" s="2"/>
    </row>
    <row r="60" spans="1:54" ht="18.75" x14ac:dyDescent="0.3">
      <c r="A60" s="280"/>
      <c r="B60" s="135"/>
      <c r="C60" s="135"/>
      <c r="D60" s="135"/>
      <c r="E60" s="135"/>
      <c r="F60" s="135"/>
      <c r="G60" s="135"/>
      <c r="H60" s="135"/>
      <c r="I60" s="135"/>
      <c r="J60" s="135"/>
      <c r="K60" s="135"/>
      <c r="L60" s="135"/>
      <c r="M60" s="135"/>
      <c r="N60" s="135"/>
      <c r="O60" s="135"/>
      <c r="P60" s="135"/>
      <c r="Q60" s="124"/>
      <c r="R60" s="135"/>
      <c r="S60" s="124"/>
      <c r="T60" s="124"/>
      <c r="U60" s="124"/>
      <c r="V60" s="124"/>
      <c r="W60" s="135"/>
      <c r="X60" s="182">
        <v>28</v>
      </c>
      <c r="Y60" s="200"/>
      <c r="Z60" s="201"/>
      <c r="AA60" s="182"/>
      <c r="AB60" s="227"/>
      <c r="AC60" s="277"/>
      <c r="AD60" s="108"/>
      <c r="AE60" s="108">
        <f t="shared" si="7"/>
        <v>0</v>
      </c>
      <c r="AF60" s="182"/>
      <c r="AG60" s="182"/>
      <c r="AH60" s="202"/>
      <c r="AI60" s="203"/>
      <c r="AJ60" s="108">
        <f t="shared" si="10"/>
        <v>0</v>
      </c>
      <c r="AK60" s="163"/>
      <c r="AL60" s="258">
        <f t="shared" si="8"/>
        <v>0</v>
      </c>
      <c r="AM60" s="221">
        <v>28</v>
      </c>
      <c r="AN60" s="16"/>
      <c r="AR60" s="12"/>
      <c r="AS60" s="2"/>
      <c r="AT60" s="2"/>
      <c r="AU60" s="2"/>
      <c r="AV60" s="12"/>
      <c r="AY60" s="2"/>
      <c r="AZ60" s="2"/>
      <c r="BA60" s="2"/>
      <c r="BB60" s="2"/>
    </row>
    <row r="61" spans="1:54" ht="18.75" x14ac:dyDescent="0.3">
      <c r="A61" s="280"/>
      <c r="B61" s="135"/>
      <c r="C61" s="135"/>
      <c r="D61" s="135"/>
      <c r="E61" s="135"/>
      <c r="F61" s="135"/>
      <c r="G61" s="135"/>
      <c r="H61" s="135"/>
      <c r="I61" s="135"/>
      <c r="J61" s="135"/>
      <c r="K61" s="135"/>
      <c r="L61" s="135"/>
      <c r="M61" s="135"/>
      <c r="N61" s="135"/>
      <c r="O61" s="135"/>
      <c r="P61" s="135"/>
      <c r="Q61" s="124"/>
      <c r="R61" s="135"/>
      <c r="S61" s="124"/>
      <c r="T61" s="124"/>
      <c r="U61" s="124"/>
      <c r="V61" s="124"/>
      <c r="W61" s="135"/>
      <c r="X61" s="182">
        <v>29</v>
      </c>
      <c r="Y61" s="223"/>
      <c r="Z61" s="224"/>
      <c r="AA61" s="208"/>
      <c r="AB61" s="208"/>
      <c r="AC61" s="277"/>
      <c r="AD61" s="210"/>
      <c r="AE61" s="108">
        <f t="shared" si="7"/>
        <v>0</v>
      </c>
      <c r="AF61" s="182"/>
      <c r="AG61" s="182"/>
      <c r="AH61" s="282"/>
      <c r="AI61" s="203"/>
      <c r="AJ61" s="108">
        <f t="shared" si="10"/>
        <v>0</v>
      </c>
      <c r="AK61" s="306"/>
      <c r="AL61" s="258">
        <f t="shared" si="8"/>
        <v>0</v>
      </c>
      <c r="AM61" s="221">
        <v>29</v>
      </c>
      <c r="AN61" s="16"/>
      <c r="AR61" s="12"/>
      <c r="AS61" s="2"/>
      <c r="AT61" s="2"/>
      <c r="AU61" s="2"/>
      <c r="AV61" s="12"/>
    </row>
    <row r="62" spans="1:54" ht="18.75" x14ac:dyDescent="0.3">
      <c r="A62" s="280"/>
      <c r="B62" s="135"/>
      <c r="C62" s="135"/>
      <c r="D62" s="135"/>
      <c r="E62" s="135"/>
      <c r="F62" s="135"/>
      <c r="G62" s="135"/>
      <c r="H62" s="135"/>
      <c r="I62" s="135"/>
      <c r="J62" s="135"/>
      <c r="K62" s="135"/>
      <c r="L62" s="135"/>
      <c r="M62" s="135"/>
      <c r="N62" s="135"/>
      <c r="O62" s="135"/>
      <c r="P62" s="135"/>
      <c r="Q62" s="124"/>
      <c r="R62" s="135"/>
      <c r="S62" s="124"/>
      <c r="T62" s="124"/>
      <c r="U62" s="124"/>
      <c r="V62" s="124"/>
      <c r="W62" s="135"/>
      <c r="X62" s="182">
        <v>30</v>
      </c>
      <c r="Y62" s="223"/>
      <c r="Z62" s="224"/>
      <c r="AA62" s="208"/>
      <c r="AB62" s="208"/>
      <c r="AC62" s="277"/>
      <c r="AD62" s="108"/>
      <c r="AE62" s="108">
        <f t="shared" si="7"/>
        <v>0</v>
      </c>
      <c r="AF62" s="182"/>
      <c r="AG62" s="283"/>
      <c r="AH62" s="284"/>
      <c r="AI62" s="285"/>
      <c r="AJ62" s="286">
        <f t="shared" si="10"/>
        <v>0</v>
      </c>
      <c r="AK62" s="301"/>
      <c r="AL62" s="307">
        <f t="shared" si="8"/>
        <v>0</v>
      </c>
      <c r="AM62" s="221">
        <v>30</v>
      </c>
      <c r="AN62" s="16"/>
      <c r="AR62" s="2"/>
      <c r="AS62" s="2"/>
      <c r="AT62" s="2"/>
      <c r="AU62" s="2"/>
      <c r="AV62" s="12"/>
    </row>
    <row r="63" spans="1:54" ht="18.75" x14ac:dyDescent="0.3">
      <c r="A63" s="280"/>
      <c r="B63" s="135"/>
      <c r="C63" s="135"/>
      <c r="D63" s="135"/>
      <c r="E63" s="135"/>
      <c r="F63" s="135"/>
      <c r="G63" s="135"/>
      <c r="H63" s="135"/>
      <c r="I63" s="135"/>
      <c r="J63" s="135"/>
      <c r="K63" s="135"/>
      <c r="L63" s="135"/>
      <c r="M63" s="135"/>
      <c r="N63" s="135"/>
      <c r="O63" s="135"/>
      <c r="P63" s="135"/>
      <c r="Q63" s="124"/>
      <c r="R63" s="135"/>
      <c r="S63" s="124"/>
      <c r="T63" s="124"/>
      <c r="U63" s="124"/>
      <c r="V63" s="124"/>
      <c r="W63" s="135"/>
      <c r="X63" s="24"/>
      <c r="Y63" s="160"/>
      <c r="Z63" s="161"/>
      <c r="AA63" s="24"/>
      <c r="AB63" s="24"/>
      <c r="AC63" s="277">
        <f>SUM(AC33:AC62)</f>
        <v>0</v>
      </c>
      <c r="AD63" s="287"/>
      <c r="AE63" s="163"/>
      <c r="AF63" s="24"/>
      <c r="AG63" s="288"/>
      <c r="AH63" s="289" t="s">
        <v>75</v>
      </c>
      <c r="AI63" s="290"/>
      <c r="AJ63" s="291">
        <f>SUM(AJ3:AJ62)</f>
        <v>0</v>
      </c>
      <c r="AK63" s="163"/>
      <c r="AL63" s="258">
        <f t="shared" si="8"/>
        <v>0</v>
      </c>
      <c r="AM63" s="38"/>
      <c r="AN63" s="16"/>
      <c r="AR63" s="2"/>
      <c r="AS63" s="2"/>
      <c r="AT63" s="2"/>
      <c r="AU63" s="2"/>
      <c r="AV63" s="12"/>
    </row>
    <row r="64" spans="1:54" ht="18.75" x14ac:dyDescent="0.3">
      <c r="A64" s="280"/>
      <c r="B64" s="135"/>
      <c r="C64" s="135"/>
      <c r="D64" s="135"/>
      <c r="E64" s="135"/>
      <c r="F64" s="135"/>
      <c r="G64" s="135"/>
      <c r="H64" s="135"/>
      <c r="I64" s="135"/>
      <c r="J64" s="135"/>
      <c r="K64" s="135"/>
      <c r="L64" s="135"/>
      <c r="M64" s="135"/>
      <c r="N64" s="135"/>
      <c r="O64" s="135"/>
      <c r="P64" s="135"/>
      <c r="Q64" s="124"/>
      <c r="R64" s="135"/>
      <c r="S64" s="124"/>
      <c r="T64" s="124"/>
      <c r="U64" s="124"/>
      <c r="V64" s="124"/>
      <c r="W64" s="135"/>
      <c r="X64" s="24"/>
      <c r="Y64" s="292"/>
      <c r="Z64" s="293"/>
      <c r="AA64" s="32"/>
      <c r="AB64" s="294"/>
      <c r="AC64" s="295" t="s">
        <v>16</v>
      </c>
      <c r="AD64" s="296">
        <f>SUM(AD33:AD63)</f>
        <v>0</v>
      </c>
      <c r="AE64" s="163"/>
      <c r="AF64" s="24"/>
      <c r="AG64" s="24"/>
      <c r="AH64" s="297"/>
      <c r="AI64" s="165"/>
      <c r="AJ64" s="163"/>
      <c r="AK64" s="163"/>
      <c r="AL64" s="124"/>
      <c r="AM64" s="124"/>
      <c r="AN64" s="36"/>
      <c r="AR64" s="2"/>
      <c r="AS64" s="2"/>
      <c r="AT64" s="2"/>
      <c r="AU64" s="2"/>
      <c r="AV64" s="12"/>
    </row>
    <row r="65" spans="1:55" ht="18.75" x14ac:dyDescent="0.3">
      <c r="A65" s="280"/>
      <c r="B65" s="135"/>
      <c r="C65" s="135"/>
      <c r="D65" s="135"/>
      <c r="E65" s="135"/>
      <c r="F65" s="135"/>
      <c r="G65" s="135"/>
      <c r="H65" s="135"/>
      <c r="I65" s="135"/>
      <c r="J65" s="135"/>
      <c r="K65" s="135"/>
      <c r="L65" s="135"/>
      <c r="M65" s="135"/>
      <c r="N65" s="135"/>
      <c r="O65" s="135"/>
      <c r="P65" s="135"/>
      <c r="Q65" s="124"/>
      <c r="R65" s="135"/>
      <c r="S65" s="124"/>
      <c r="T65" s="124"/>
      <c r="U65" s="124"/>
      <c r="V65" s="124"/>
      <c r="W65" s="135"/>
      <c r="X65" s="24"/>
      <c r="Y65" s="160"/>
      <c r="Z65" s="161"/>
      <c r="AA65" s="24"/>
      <c r="AB65" s="24"/>
      <c r="AC65" s="163"/>
      <c r="AD65" s="163"/>
      <c r="AE65" s="163"/>
      <c r="AF65" s="24"/>
      <c r="AG65" s="24"/>
      <c r="AH65" s="297"/>
      <c r="AI65" s="165"/>
      <c r="AJ65" s="163"/>
      <c r="AK65" s="163"/>
      <c r="AL65" s="24"/>
      <c r="AM65" s="308"/>
      <c r="AN65" s="16"/>
      <c r="AR65" s="2"/>
      <c r="AS65" s="2"/>
      <c r="AT65" s="2"/>
      <c r="AU65" s="2"/>
      <c r="AV65" s="2"/>
    </row>
    <row r="66" spans="1:55" ht="18.75" x14ac:dyDescent="0.3">
      <c r="A66" s="280"/>
      <c r="B66" s="135"/>
      <c r="C66" s="135"/>
      <c r="D66" s="135"/>
      <c r="E66" s="135"/>
      <c r="F66" s="135"/>
      <c r="G66" s="135"/>
      <c r="H66" s="135"/>
      <c r="I66" s="135"/>
      <c r="J66" s="135"/>
      <c r="K66" s="135"/>
      <c r="L66" s="135"/>
      <c r="M66" s="135"/>
      <c r="N66" s="135"/>
      <c r="O66" s="135"/>
      <c r="P66" s="135"/>
      <c r="Q66" s="124"/>
      <c r="R66" s="135"/>
      <c r="S66" s="124"/>
      <c r="T66" s="124"/>
      <c r="U66" s="124"/>
      <c r="V66" s="124"/>
      <c r="W66" s="135"/>
      <c r="X66" s="24"/>
      <c r="Y66" s="160"/>
      <c r="Z66" s="161"/>
      <c r="AA66" s="24"/>
      <c r="AB66" s="24"/>
      <c r="AC66" s="163"/>
      <c r="AD66" s="163"/>
      <c r="AE66" s="163"/>
      <c r="AF66" s="24"/>
      <c r="AG66" s="24"/>
      <c r="AH66" s="297"/>
      <c r="AI66" s="202" t="s">
        <v>76</v>
      </c>
      <c r="AJ66" s="163"/>
      <c r="AK66" s="163"/>
      <c r="AL66" s="24"/>
      <c r="AM66" s="308"/>
      <c r="AN66" s="16"/>
      <c r="AR66" s="2"/>
      <c r="AS66" s="2"/>
      <c r="AT66" s="2"/>
      <c r="AU66" s="2"/>
      <c r="AV66" s="2"/>
    </row>
    <row r="67" spans="1:55" ht="18.75" x14ac:dyDescent="0.3">
      <c r="A67" s="280"/>
      <c r="B67" s="135"/>
      <c r="C67" s="135"/>
      <c r="D67" s="135"/>
      <c r="E67" s="135"/>
      <c r="F67" s="135"/>
      <c r="G67" s="135"/>
      <c r="H67" s="135"/>
      <c r="I67" s="135"/>
      <c r="J67" s="135"/>
      <c r="K67" s="135"/>
      <c r="L67" s="135"/>
      <c r="M67" s="135"/>
      <c r="N67" s="135"/>
      <c r="O67" s="135"/>
      <c r="P67" s="135"/>
      <c r="Q67" s="124"/>
      <c r="R67" s="135"/>
      <c r="S67" s="124"/>
      <c r="T67" s="124"/>
      <c r="U67" s="124"/>
      <c r="V67" s="124"/>
      <c r="W67" s="135"/>
      <c r="X67" s="24"/>
      <c r="Y67" s="160"/>
      <c r="Z67" s="161"/>
      <c r="AA67" s="24"/>
      <c r="AB67" s="24"/>
      <c r="AC67" s="231" t="s">
        <v>16</v>
      </c>
      <c r="AD67" s="231">
        <f>AD30</f>
        <v>0</v>
      </c>
      <c r="AE67" s="163"/>
      <c r="AF67" s="24"/>
      <c r="AG67" s="24"/>
      <c r="AH67" s="297"/>
      <c r="AI67" s="233"/>
      <c r="AJ67" s="291">
        <f>AJ63</f>
        <v>0</v>
      </c>
      <c r="AK67" s="163"/>
      <c r="AL67" s="24"/>
      <c r="AM67" s="308"/>
      <c r="AN67" s="16"/>
      <c r="AR67" s="2"/>
      <c r="AS67" s="2"/>
      <c r="AT67" s="2"/>
      <c r="AU67" s="2"/>
      <c r="AV67" s="2"/>
    </row>
    <row r="68" spans="1:55" ht="18.75" x14ac:dyDescent="0.3">
      <c r="A68" s="280"/>
      <c r="B68" s="135"/>
      <c r="C68" s="135"/>
      <c r="D68" s="135"/>
      <c r="E68" s="135"/>
      <c r="F68" s="135"/>
      <c r="G68" s="135"/>
      <c r="H68" s="135"/>
      <c r="I68" s="135"/>
      <c r="J68" s="135"/>
      <c r="K68" s="135"/>
      <c r="L68" s="135"/>
      <c r="M68" s="135"/>
      <c r="N68" s="135"/>
      <c r="O68" s="135"/>
      <c r="P68" s="135"/>
      <c r="Q68" s="124"/>
      <c r="R68" s="135"/>
      <c r="S68" s="124"/>
      <c r="T68" s="124"/>
      <c r="U68" s="124"/>
      <c r="V68" s="124"/>
      <c r="W68" s="135"/>
      <c r="X68" s="24"/>
      <c r="Y68" s="160"/>
      <c r="Z68" s="161"/>
      <c r="AA68" s="24"/>
      <c r="AB68" s="24"/>
      <c r="AC68" s="295" t="s">
        <v>16</v>
      </c>
      <c r="AD68" s="296">
        <f>AD64</f>
        <v>0</v>
      </c>
      <c r="AE68" s="163"/>
      <c r="AF68" s="24"/>
      <c r="AG68" s="24"/>
      <c r="AH68" s="297"/>
      <c r="AI68" s="298" t="s">
        <v>32</v>
      </c>
      <c r="AJ68" s="295">
        <f>'JANV 2026'!AJ69</f>
        <v>0</v>
      </c>
      <c r="AK68" s="163"/>
      <c r="AL68" s="24"/>
      <c r="AM68" s="308"/>
      <c r="AN68" s="16"/>
      <c r="AR68" s="2"/>
      <c r="AS68" s="2"/>
      <c r="AT68" s="2"/>
      <c r="AU68" s="2"/>
      <c r="AV68" s="2"/>
      <c r="BC68" s="20"/>
    </row>
    <row r="69" spans="1:55" ht="18.75" x14ac:dyDescent="0.3">
      <c r="A69" s="280"/>
      <c r="B69" s="135"/>
      <c r="C69" s="135"/>
      <c r="D69" s="135"/>
      <c r="E69" s="135"/>
      <c r="F69" s="135"/>
      <c r="G69" s="135"/>
      <c r="H69" s="135"/>
      <c r="I69" s="135"/>
      <c r="J69" s="135"/>
      <c r="K69" s="135"/>
      <c r="L69" s="135"/>
      <c r="M69" s="135"/>
      <c r="N69" s="135"/>
      <c r="O69" s="135"/>
      <c r="P69" s="135"/>
      <c r="Q69" s="124"/>
      <c r="R69" s="135"/>
      <c r="S69" s="124"/>
      <c r="T69" s="124"/>
      <c r="U69" s="124"/>
      <c r="V69" s="124"/>
      <c r="W69" s="135"/>
      <c r="X69" s="24"/>
      <c r="Y69" s="160"/>
      <c r="Z69" s="161"/>
      <c r="AA69" s="24"/>
      <c r="AB69" s="24"/>
      <c r="AC69" s="299" t="s">
        <v>74</v>
      </c>
      <c r="AD69" s="299">
        <f>SUM(AD67:AD68)</f>
        <v>0</v>
      </c>
      <c r="AE69" s="163"/>
      <c r="AF69" s="24"/>
      <c r="AG69" s="24"/>
      <c r="AH69" s="297"/>
      <c r="AI69" s="298" t="s">
        <v>33</v>
      </c>
      <c r="AJ69" s="300">
        <f>SUM(AJ67:AJ68)</f>
        <v>0</v>
      </c>
      <c r="AK69" s="163"/>
      <c r="AL69" s="24"/>
      <c r="AM69" s="308"/>
      <c r="AN69" s="16"/>
      <c r="AR69" s="2"/>
      <c r="AS69" s="2"/>
      <c r="AT69" s="2"/>
      <c r="AU69" s="2"/>
      <c r="AV69" s="2"/>
      <c r="BC69" s="20"/>
    </row>
    <row r="70" spans="1:55" ht="18.75" x14ac:dyDescent="0.3">
      <c r="A70" s="1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X70" s="16"/>
      <c r="Y70" s="41"/>
      <c r="Z70" s="42"/>
      <c r="AA70" s="20"/>
      <c r="AB70" s="44"/>
      <c r="AC70" s="19"/>
      <c r="AD70" s="19"/>
      <c r="AE70" s="19"/>
      <c r="AF70" s="20"/>
      <c r="AG70" s="20"/>
      <c r="AH70" s="43"/>
      <c r="AI70" s="21"/>
      <c r="AJ70" s="22"/>
      <c r="AK70" s="17"/>
      <c r="AL70" s="16"/>
      <c r="AM70" s="39"/>
      <c r="AN70" s="22"/>
      <c r="AR70" s="2"/>
      <c r="AS70" s="2"/>
      <c r="AT70" s="2"/>
      <c r="AU70" s="2"/>
      <c r="AV70" s="2"/>
    </row>
    <row r="71" spans="1:55" ht="18.75" x14ac:dyDescent="0.3">
      <c r="A71" s="1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X71" s="16"/>
      <c r="Y71" s="45"/>
      <c r="Z71" s="46"/>
      <c r="AA71" s="47"/>
      <c r="AB71" s="47"/>
      <c r="AC71" s="48"/>
      <c r="AD71" s="48"/>
      <c r="AE71" s="19"/>
      <c r="AF71" s="20"/>
      <c r="AG71" s="20"/>
      <c r="AH71" s="43"/>
      <c r="AK71" s="17"/>
      <c r="AL71" s="16"/>
      <c r="AM71" s="39"/>
      <c r="AN71" s="22"/>
      <c r="BA71" s="7"/>
    </row>
    <row r="72" spans="1:55" ht="18.75" x14ac:dyDescent="0.3">
      <c r="A72" s="1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X72" s="16"/>
      <c r="Y72" s="45"/>
      <c r="Z72" s="46"/>
      <c r="AA72" s="47"/>
      <c r="AB72" s="47"/>
      <c r="AC72" s="19"/>
      <c r="AD72" s="19"/>
      <c r="AE72" s="19"/>
      <c r="AF72" s="20"/>
      <c r="AG72" s="20"/>
      <c r="AH72" s="43"/>
      <c r="AK72" s="17"/>
      <c r="AL72" s="16"/>
      <c r="AM72" s="39"/>
      <c r="AN72" s="22"/>
      <c r="AY72" s="7"/>
      <c r="BA72" s="7"/>
    </row>
    <row r="73" spans="1:55" ht="18.75" x14ac:dyDescent="0.3">
      <c r="A73" s="1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X73" s="16"/>
      <c r="Y73" s="41"/>
      <c r="Z73" s="42"/>
      <c r="AA73" s="20"/>
      <c r="AB73" s="20"/>
      <c r="AC73" s="19"/>
      <c r="AD73" s="19"/>
      <c r="AE73" s="19"/>
      <c r="AF73" s="20"/>
      <c r="AG73" s="20"/>
      <c r="AH73" s="49"/>
      <c r="AK73" s="17"/>
      <c r="AL73" s="16"/>
      <c r="AM73" s="40" t="s">
        <v>34</v>
      </c>
      <c r="AN73" s="16"/>
      <c r="AY73" s="7"/>
      <c r="BA73" s="7"/>
    </row>
    <row r="74" spans="1:55" x14ac:dyDescent="0.2">
      <c r="A74" s="1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AY74" s="2"/>
    </row>
    <row r="75" spans="1:55" x14ac:dyDescent="0.2">
      <c r="A75" s="1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AR75" s="2"/>
      <c r="AS75" s="2"/>
      <c r="AT75" s="2"/>
      <c r="AU75" s="2"/>
      <c r="AV75" s="2"/>
      <c r="AY75" s="2"/>
      <c r="AZ75" s="2"/>
      <c r="BA75" s="2"/>
      <c r="BB75" s="2"/>
    </row>
    <row r="76" spans="1:55" x14ac:dyDescent="0.2">
      <c r="A76" s="1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AR76" s="92"/>
      <c r="AS76" s="11"/>
      <c r="AT76" s="11"/>
      <c r="AU76" s="11"/>
      <c r="AV76" s="2"/>
      <c r="AY76" s="2"/>
      <c r="AZ76" s="2"/>
      <c r="BA76" s="12"/>
      <c r="BB76" s="2"/>
    </row>
    <row r="77" spans="1:55" x14ac:dyDescent="0.2">
      <c r="A77" s="12"/>
      <c r="B77" s="2"/>
      <c r="L77" s="2"/>
      <c r="M77" s="2"/>
      <c r="N77" s="2"/>
      <c r="O77" s="2"/>
      <c r="AR77" s="92"/>
      <c r="AS77" s="11"/>
      <c r="AT77" s="11"/>
      <c r="AU77" s="11"/>
      <c r="AV77" s="2"/>
      <c r="AY77" s="12"/>
      <c r="AZ77" s="2"/>
      <c r="BA77" s="12"/>
      <c r="BB77" s="2"/>
    </row>
    <row r="78" spans="1:55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AR78" s="92"/>
      <c r="AS78" s="11"/>
      <c r="AT78" s="11"/>
      <c r="AU78" s="11"/>
      <c r="AV78" s="2"/>
      <c r="AY78" s="12"/>
      <c r="AZ78" s="2"/>
      <c r="BA78" s="12"/>
      <c r="BB78" s="2"/>
    </row>
    <row r="79" spans="1:55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AR79" s="92"/>
      <c r="AS79" s="2"/>
      <c r="AT79" s="2"/>
      <c r="AU79" s="2"/>
      <c r="AV79" s="2"/>
      <c r="AY79" s="2"/>
      <c r="AZ79" s="2"/>
      <c r="BA79" s="12"/>
      <c r="BB79" s="2"/>
    </row>
    <row r="80" spans="1:55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AR80" s="2"/>
      <c r="AS80" s="11"/>
      <c r="AT80" s="11"/>
      <c r="AU80" s="11"/>
      <c r="AV80" s="2"/>
      <c r="AY80" s="2"/>
      <c r="AZ80" s="2"/>
      <c r="BA80" s="2"/>
      <c r="BB80" s="2"/>
    </row>
    <row r="81" spans="1:54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AR81" s="92"/>
      <c r="AS81" s="2"/>
      <c r="AT81" s="2"/>
      <c r="AU81" s="2"/>
      <c r="AV81" s="2"/>
      <c r="AY81" s="2"/>
      <c r="AZ81" s="2"/>
      <c r="BA81" s="2"/>
      <c r="BB81" s="2"/>
    </row>
    <row r="82" spans="1:54" x14ac:dyDescent="0.2">
      <c r="A82" s="2"/>
      <c r="B82" s="2"/>
      <c r="C82" s="2"/>
      <c r="D82" s="2"/>
      <c r="E82" s="2"/>
      <c r="F82" s="2"/>
      <c r="G82" s="2"/>
      <c r="H82" s="2"/>
      <c r="I82" s="2"/>
      <c r="J82" s="13"/>
      <c r="K82" s="2"/>
      <c r="L82" s="2"/>
      <c r="M82" s="2"/>
      <c r="N82" s="2"/>
      <c r="O82" s="2"/>
      <c r="P82" s="2"/>
      <c r="AR82" s="2"/>
      <c r="AS82" s="2"/>
      <c r="AT82" s="2"/>
      <c r="AU82" s="2"/>
      <c r="AV82" s="2"/>
      <c r="AY82" s="2"/>
      <c r="AZ82" s="2"/>
      <c r="BA82" s="2"/>
      <c r="BB82" s="2"/>
    </row>
    <row r="83" spans="1:54" x14ac:dyDescent="0.2">
      <c r="J83" s="13"/>
      <c r="K83" s="2"/>
      <c r="AR83" s="2"/>
      <c r="AS83" s="2"/>
      <c r="AT83" s="2"/>
      <c r="AU83" s="2"/>
      <c r="AV83" s="12"/>
      <c r="AY83" s="2"/>
      <c r="AZ83" s="2"/>
      <c r="BA83" s="2"/>
      <c r="BB83" s="2"/>
    </row>
    <row r="84" spans="1:54" x14ac:dyDescent="0.2">
      <c r="AR84" s="12"/>
      <c r="AS84" s="2"/>
      <c r="AT84" s="2"/>
      <c r="AU84" s="2"/>
      <c r="AV84" s="12"/>
      <c r="AY84" s="2"/>
      <c r="AZ84" s="2"/>
      <c r="BA84" s="2"/>
      <c r="BB84" s="2"/>
    </row>
    <row r="85" spans="1:54" x14ac:dyDescent="0.2">
      <c r="A85" s="2"/>
      <c r="B85" s="2"/>
      <c r="AR85" s="12"/>
      <c r="AS85" s="2"/>
      <c r="AT85" s="2"/>
      <c r="AU85" s="2"/>
      <c r="AV85" s="12"/>
    </row>
    <row r="86" spans="1:54" x14ac:dyDescent="0.2">
      <c r="A86" s="2"/>
      <c r="B86" s="2"/>
      <c r="C86" s="2"/>
      <c r="D86" s="2"/>
      <c r="E86" s="2"/>
      <c r="F86" s="6"/>
      <c r="I86" s="6"/>
      <c r="AR86" s="2"/>
      <c r="AS86" s="2"/>
      <c r="AT86" s="2"/>
      <c r="AU86" s="2"/>
      <c r="AV86" s="12"/>
    </row>
    <row r="87" spans="1:54" x14ac:dyDescent="0.2">
      <c r="C87" s="5"/>
      <c r="F87" s="6"/>
      <c r="AR87" s="2"/>
      <c r="AS87" s="2"/>
      <c r="AT87" s="2"/>
      <c r="AU87" s="2"/>
      <c r="AV87" s="12"/>
    </row>
    <row r="88" spans="1:54" x14ac:dyDescent="0.2">
      <c r="C88" s="5"/>
      <c r="AR88" s="2"/>
      <c r="AS88" s="2"/>
      <c r="AT88" s="2"/>
      <c r="AU88" s="2"/>
      <c r="AV88" s="12"/>
    </row>
    <row r="89" spans="1:54" x14ac:dyDescent="0.2">
      <c r="C89" s="5"/>
      <c r="AR89" s="2"/>
      <c r="AS89" s="2"/>
      <c r="AT89" s="2"/>
      <c r="AU89" s="2"/>
      <c r="AV89" s="2"/>
    </row>
    <row r="90" spans="1:54" x14ac:dyDescent="0.2">
      <c r="C90" s="5"/>
      <c r="AR90" s="2"/>
      <c r="AS90" s="2"/>
      <c r="AT90" s="2"/>
      <c r="AU90" s="2"/>
      <c r="AV90" s="2"/>
    </row>
    <row r="91" spans="1:54" x14ac:dyDescent="0.2">
      <c r="C91" s="5"/>
      <c r="AR91" s="2"/>
      <c r="AS91" s="2"/>
      <c r="AT91" s="2"/>
      <c r="AU91" s="2"/>
      <c r="AV91" s="2"/>
    </row>
    <row r="92" spans="1:54" x14ac:dyDescent="0.2">
      <c r="C92" s="5"/>
      <c r="AR92" s="2"/>
      <c r="AS92" s="2"/>
      <c r="AT92" s="2"/>
      <c r="AU92" s="2"/>
      <c r="AV92" s="2"/>
    </row>
    <row r="93" spans="1:54" x14ac:dyDescent="0.2">
      <c r="C93" s="5"/>
      <c r="AR93" s="2"/>
      <c r="AS93" s="2"/>
      <c r="AT93" s="2"/>
      <c r="AU93" s="2"/>
      <c r="AV93" s="2"/>
    </row>
    <row r="94" spans="1:54" x14ac:dyDescent="0.2">
      <c r="C94" s="5"/>
      <c r="AR94" s="2"/>
      <c r="AS94" s="11"/>
      <c r="AT94" s="11"/>
      <c r="AU94" s="11"/>
      <c r="AV94" s="2"/>
    </row>
    <row r="95" spans="1:54" x14ac:dyDescent="0.2">
      <c r="C95" s="5"/>
    </row>
    <row r="96" spans="1:54" x14ac:dyDescent="0.2">
      <c r="C96" s="5"/>
    </row>
    <row r="97" spans="3:3" x14ac:dyDescent="0.2">
      <c r="C97" s="5"/>
    </row>
    <row r="98" spans="3:3" x14ac:dyDescent="0.2">
      <c r="C98" s="5"/>
    </row>
    <row r="99" spans="3:3" x14ac:dyDescent="0.2">
      <c r="C99" s="5"/>
    </row>
    <row r="100" spans="3:3" x14ac:dyDescent="0.2">
      <c r="C100" s="5"/>
    </row>
    <row r="101" spans="3:3" x14ac:dyDescent="0.2">
      <c r="C101" s="5"/>
    </row>
    <row r="102" spans="3:3" x14ac:dyDescent="0.2">
      <c r="C102" s="5"/>
    </row>
    <row r="103" spans="3:3" x14ac:dyDescent="0.2">
      <c r="C103" s="5"/>
    </row>
    <row r="104" spans="3:3" x14ac:dyDescent="0.2">
      <c r="C104" s="5"/>
    </row>
    <row r="105" spans="3:3" x14ac:dyDescent="0.2">
      <c r="C105" s="5"/>
    </row>
    <row r="106" spans="3:3" x14ac:dyDescent="0.2">
      <c r="C106" s="5"/>
    </row>
    <row r="107" spans="3:3" x14ac:dyDescent="0.2">
      <c r="C107" s="5"/>
    </row>
    <row r="108" spans="3:3" x14ac:dyDescent="0.2">
      <c r="C108" s="5"/>
    </row>
    <row r="109" spans="3:3" x14ac:dyDescent="0.2">
      <c r="C109" s="5"/>
    </row>
    <row r="110" spans="3:3" x14ac:dyDescent="0.2">
      <c r="C110" s="5"/>
    </row>
    <row r="111" spans="3:3" x14ac:dyDescent="0.2">
      <c r="C111" s="5"/>
    </row>
    <row r="112" spans="3:3" x14ac:dyDescent="0.2">
      <c r="C112" s="5"/>
    </row>
    <row r="113" spans="3:3" x14ac:dyDescent="0.2">
      <c r="C113" s="5"/>
    </row>
    <row r="114" spans="3:3" x14ac:dyDescent="0.2">
      <c r="C114" s="5"/>
    </row>
    <row r="115" spans="3:3" x14ac:dyDescent="0.2">
      <c r="C115" s="5"/>
    </row>
    <row r="116" spans="3:3" x14ac:dyDescent="0.2">
      <c r="C116" s="5"/>
    </row>
    <row r="117" spans="3:3" x14ac:dyDescent="0.2">
      <c r="C117" s="5"/>
    </row>
  </sheetData>
  <pageMargins left="0.25" right="0.25" top="0.75" bottom="0.75" header="0.3" footer="0.3"/>
  <pageSetup paperSize="9" scale="83" fitToHeight="0" orientation="landscape" horizontalDpi="4294967292" verticalDpi="4294967292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published="0">
    <pageSetUpPr fitToPage="1"/>
  </sheetPr>
  <dimension ref="A1:BE117"/>
  <sheetViews>
    <sheetView topLeftCell="A13" zoomScale="70" zoomScaleNormal="70" zoomScalePageLayoutView="85" workbookViewId="0">
      <selection activeCell="Q43" sqref="Q43"/>
    </sheetView>
  </sheetViews>
  <sheetFormatPr baseColWidth="10" defaultColWidth="11" defaultRowHeight="12.75" x14ac:dyDescent="0.2"/>
  <cols>
    <col min="1" max="1" width="11.25" bestFit="1" customWidth="1"/>
    <col min="2" max="2" width="9.75" customWidth="1"/>
    <col min="3" max="3" width="11.375" customWidth="1"/>
    <col min="4" max="4" width="8.25" customWidth="1"/>
    <col min="5" max="5" width="9.375" customWidth="1"/>
    <col min="6" max="6" width="11.25" customWidth="1"/>
    <col min="7" max="7" width="10.375" customWidth="1"/>
    <col min="8" max="8" width="9.375" customWidth="1"/>
    <col min="9" max="9" width="6.375" customWidth="1"/>
    <col min="10" max="10" width="8.375" customWidth="1"/>
    <col min="11" max="11" width="8.625" customWidth="1"/>
    <col min="12" max="12" width="7" customWidth="1"/>
    <col min="13" max="13" width="8.875" customWidth="1"/>
    <col min="14" max="14" width="8.25" customWidth="1"/>
    <col min="15" max="15" width="10.25" bestFit="1" customWidth="1"/>
    <col min="16" max="16" width="17.25" bestFit="1" customWidth="1"/>
    <col min="17" max="17" width="39.125" customWidth="1"/>
    <col min="18" max="18" width="11" style="2"/>
    <col min="19" max="19" width="8" customWidth="1"/>
    <col min="20" max="20" width="12.375" customWidth="1"/>
    <col min="21" max="21" width="2.625" customWidth="1"/>
    <col min="22" max="22" width="33.75" customWidth="1"/>
    <col min="23" max="23" width="9.375" style="2" customWidth="1"/>
    <col min="24" max="24" width="9.25" customWidth="1"/>
    <col min="25" max="25" width="15" bestFit="1" customWidth="1"/>
    <col min="26" max="26" width="10.375" customWidth="1"/>
    <col min="27" max="27" width="14.5" bestFit="1" customWidth="1"/>
    <col min="28" max="28" width="11.375" customWidth="1"/>
    <col min="29" max="29" width="11.25" bestFit="1" customWidth="1"/>
    <col min="30" max="30" width="8.75" customWidth="1"/>
    <col min="31" max="31" width="12.875" customWidth="1"/>
    <col min="32" max="32" width="13.875" bestFit="1" customWidth="1"/>
    <col min="33" max="33" width="12.375" customWidth="1"/>
    <col min="34" max="34" width="9.25" customWidth="1"/>
    <col min="35" max="35" width="16.75" bestFit="1" customWidth="1"/>
    <col min="36" max="36" width="9.5" bestFit="1" customWidth="1"/>
    <col min="37" max="37" width="9.875" customWidth="1"/>
    <col min="38" max="38" width="10.75" customWidth="1"/>
  </cols>
  <sheetData>
    <row r="1" spans="1:57" ht="19.5" thickBot="1" x14ac:dyDescent="0.35">
      <c r="A1" s="123">
        <v>44712</v>
      </c>
      <c r="B1" s="124"/>
      <c r="C1" s="125" t="s">
        <v>22</v>
      </c>
      <c r="D1" s="125"/>
      <c r="E1" s="125"/>
      <c r="F1" s="126"/>
      <c r="G1" s="127" t="s">
        <v>23</v>
      </c>
      <c r="H1" s="127"/>
      <c r="I1" s="127"/>
      <c r="J1" s="127"/>
      <c r="K1" s="127"/>
      <c r="L1" s="128"/>
      <c r="M1" s="129" t="s">
        <v>6</v>
      </c>
      <c r="N1" s="129"/>
      <c r="O1" s="129"/>
      <c r="P1" s="130" t="s">
        <v>19</v>
      </c>
      <c r="Q1" s="131" t="s">
        <v>11</v>
      </c>
      <c r="R1" s="132" t="s">
        <v>12</v>
      </c>
      <c r="S1" s="133" t="s">
        <v>0</v>
      </c>
      <c r="T1" s="134" t="s">
        <v>13</v>
      </c>
      <c r="U1" s="124"/>
      <c r="V1" s="124"/>
      <c r="W1" s="135"/>
      <c r="X1" s="24"/>
      <c r="Y1" s="136" t="s">
        <v>25</v>
      </c>
      <c r="Z1" s="137" t="s">
        <v>5</v>
      </c>
      <c r="AA1" s="138" t="s">
        <v>26</v>
      </c>
      <c r="AB1" s="138" t="s">
        <v>27</v>
      </c>
      <c r="AC1" s="139" t="s">
        <v>15</v>
      </c>
      <c r="AD1" s="139" t="s">
        <v>16</v>
      </c>
      <c r="AE1" s="139" t="s">
        <v>12</v>
      </c>
      <c r="AF1" s="138" t="s">
        <v>28</v>
      </c>
      <c r="AG1" s="138" t="s">
        <v>29</v>
      </c>
      <c r="AH1" s="140" t="s">
        <v>5</v>
      </c>
      <c r="AI1" s="141" t="s">
        <v>30</v>
      </c>
      <c r="AJ1" s="24"/>
      <c r="AK1" s="301"/>
      <c r="AL1" s="24"/>
      <c r="AM1" s="302"/>
      <c r="AN1" s="16"/>
    </row>
    <row r="2" spans="1:57" s="2" customFormat="1" ht="19.5" thickBot="1" x14ac:dyDescent="0.35">
      <c r="A2" s="142" t="s">
        <v>5</v>
      </c>
      <c r="B2" s="143" t="s">
        <v>20</v>
      </c>
      <c r="C2" s="144">
        <v>6</v>
      </c>
      <c r="D2" s="145">
        <v>12</v>
      </c>
      <c r="E2" s="144">
        <v>21</v>
      </c>
      <c r="F2" s="146" t="s">
        <v>0</v>
      </c>
      <c r="G2" s="147" t="s">
        <v>24</v>
      </c>
      <c r="H2" s="148" t="s">
        <v>1</v>
      </c>
      <c r="I2" s="147" t="s">
        <v>21</v>
      </c>
      <c r="J2" s="147" t="s">
        <v>81</v>
      </c>
      <c r="K2" s="149" t="s">
        <v>2</v>
      </c>
      <c r="L2" s="150" t="s">
        <v>8</v>
      </c>
      <c r="M2" s="151" t="s">
        <v>7</v>
      </c>
      <c r="N2" s="152" t="s">
        <v>4</v>
      </c>
      <c r="O2" s="153" t="s">
        <v>3</v>
      </c>
      <c r="P2" s="154">
        <f>'MAI 2026'!P33</f>
        <v>250</v>
      </c>
      <c r="Q2" s="155"/>
      <c r="R2" s="156"/>
      <c r="S2" s="157"/>
      <c r="T2" s="158"/>
      <c r="U2" s="135"/>
      <c r="V2" s="159"/>
      <c r="W2" s="135"/>
      <c r="X2" s="24"/>
      <c r="Y2" s="160"/>
      <c r="Z2" s="161"/>
      <c r="AA2" s="24"/>
      <c r="AB2" s="162">
        <v>44712</v>
      </c>
      <c r="AC2" s="163"/>
      <c r="AD2" s="163"/>
      <c r="AE2" s="163"/>
      <c r="AF2" s="24"/>
      <c r="AG2" s="24"/>
      <c r="AH2" s="164"/>
      <c r="AI2" s="165"/>
      <c r="AJ2" s="24"/>
      <c r="AK2" s="163"/>
      <c r="AL2" s="24"/>
      <c r="AM2" s="302"/>
      <c r="AN2" s="16"/>
      <c r="AO2"/>
      <c r="AP2"/>
      <c r="AQ2" s="100"/>
      <c r="AR2" s="100"/>
      <c r="AS2" s="100"/>
      <c r="AT2" s="100"/>
      <c r="AU2" s="100"/>
      <c r="AV2" s="100"/>
      <c r="AW2" s="100"/>
      <c r="AX2"/>
      <c r="AZ2"/>
      <c r="BA2"/>
      <c r="BB2"/>
      <c r="BC2" s="20"/>
      <c r="BE2"/>
    </row>
    <row r="3" spans="1:57" ht="16.5" thickBot="1" x14ac:dyDescent="0.3">
      <c r="A3" s="166">
        <v>44712</v>
      </c>
      <c r="B3" s="167"/>
      <c r="C3" s="168"/>
      <c r="D3" s="168"/>
      <c r="E3" s="169"/>
      <c r="F3" s="170">
        <f>SUM(B3:E3)</f>
        <v>0</v>
      </c>
      <c r="G3" s="171">
        <f>F3</f>
        <v>0</v>
      </c>
      <c r="H3" s="168"/>
      <c r="I3" s="168"/>
      <c r="J3" s="169"/>
      <c r="K3" s="172">
        <f t="shared" ref="K3:K33" si="0">SUM(F3-H3-J3-I3)</f>
        <v>0</v>
      </c>
      <c r="L3" s="173">
        <f t="shared" ref="L3:L33" si="1">SUM(F3-H3-J3-I3)</f>
        <v>0</v>
      </c>
      <c r="M3" s="174"/>
      <c r="N3" s="175"/>
      <c r="O3" s="176">
        <f>SUM(L3-M3-N3+P2)</f>
        <v>250</v>
      </c>
      <c r="P3" s="177"/>
      <c r="Q3" s="178"/>
      <c r="R3" s="179"/>
      <c r="S3" s="180"/>
      <c r="T3" s="181"/>
      <c r="U3" s="124"/>
      <c r="V3" s="124"/>
      <c r="W3" s="135"/>
      <c r="X3" s="182">
        <v>1</v>
      </c>
      <c r="Y3" s="183"/>
      <c r="Z3" s="184"/>
      <c r="AA3" s="185"/>
      <c r="AB3" s="185"/>
      <c r="AC3" s="186"/>
      <c r="AD3" s="186"/>
      <c r="AE3" s="187">
        <f t="shared" ref="AE3:AE9" si="2">SUM(AC3:AD3)</f>
        <v>0</v>
      </c>
      <c r="AF3" s="185"/>
      <c r="AG3" s="185"/>
      <c r="AH3" s="188"/>
      <c r="AI3" s="189"/>
      <c r="AJ3" s="187">
        <v>0</v>
      </c>
      <c r="AK3" s="23"/>
      <c r="AL3" s="24"/>
      <c r="AM3" s="302"/>
      <c r="AN3" s="24"/>
      <c r="AQ3" s="100"/>
      <c r="AR3" s="59"/>
      <c r="AS3" s="59"/>
      <c r="AT3" s="59"/>
      <c r="AU3" s="59"/>
      <c r="AV3" s="59"/>
      <c r="AW3" s="100"/>
      <c r="AY3" s="2"/>
      <c r="AZ3" s="2"/>
      <c r="BA3" s="2"/>
      <c r="BB3" s="2"/>
      <c r="BC3" s="20"/>
      <c r="BD3" s="2"/>
    </row>
    <row r="4" spans="1:57" ht="16.5" thickBot="1" x14ac:dyDescent="0.3">
      <c r="A4" s="166">
        <v>44713</v>
      </c>
      <c r="B4" s="190"/>
      <c r="C4" s="179"/>
      <c r="D4" s="179"/>
      <c r="E4" s="175"/>
      <c r="F4" s="170">
        <f t="shared" ref="F4:F33" si="3">SUM(B4:E4)</f>
        <v>0</v>
      </c>
      <c r="G4" s="171">
        <f t="shared" ref="G4:G33" si="4">F4</f>
        <v>0</v>
      </c>
      <c r="H4" s="179"/>
      <c r="I4" s="191"/>
      <c r="J4" s="175"/>
      <c r="K4" s="192">
        <f t="shared" si="0"/>
        <v>0</v>
      </c>
      <c r="L4" s="193">
        <f t="shared" si="1"/>
        <v>0</v>
      </c>
      <c r="M4" s="174"/>
      <c r="N4" s="194"/>
      <c r="O4" s="195">
        <f>SUM(L4-M4-N4+O3+P4)</f>
        <v>250</v>
      </c>
      <c r="P4" s="196"/>
      <c r="Q4" s="197"/>
      <c r="R4" s="179"/>
      <c r="S4" s="198"/>
      <c r="T4" s="199"/>
      <c r="U4" s="124"/>
      <c r="V4" s="124"/>
      <c r="W4" s="135"/>
      <c r="X4" s="182">
        <v>2</v>
      </c>
      <c r="Y4" s="200"/>
      <c r="Z4" s="201"/>
      <c r="AA4" s="182"/>
      <c r="AB4" s="182"/>
      <c r="AC4" s="108"/>
      <c r="AD4" s="108"/>
      <c r="AE4" s="108">
        <f t="shared" si="2"/>
        <v>0</v>
      </c>
      <c r="AF4" s="182"/>
      <c r="AG4" s="182"/>
      <c r="AH4" s="202"/>
      <c r="AI4" s="203"/>
      <c r="AJ4" s="108">
        <f>AE4</f>
        <v>0</v>
      </c>
      <c r="AK4" s="25"/>
      <c r="AL4" s="124"/>
      <c r="AM4" s="124"/>
      <c r="AN4" s="28"/>
      <c r="AQ4" s="100"/>
      <c r="AR4" s="70"/>
      <c r="AS4" s="71"/>
      <c r="AT4" s="71"/>
      <c r="AU4" s="71"/>
      <c r="AV4" s="59"/>
      <c r="AW4" s="100"/>
      <c r="AY4" s="2"/>
      <c r="AZ4" s="2"/>
      <c r="BA4" s="12"/>
      <c r="BB4" s="2"/>
    </row>
    <row r="5" spans="1:57" ht="16.5" thickBot="1" x14ac:dyDescent="0.3">
      <c r="A5" s="166">
        <v>44714</v>
      </c>
      <c r="B5" s="190"/>
      <c r="C5" s="179"/>
      <c r="D5" s="179"/>
      <c r="E5" s="175"/>
      <c r="F5" s="170">
        <f t="shared" si="3"/>
        <v>0</v>
      </c>
      <c r="G5" s="171">
        <f t="shared" si="4"/>
        <v>0</v>
      </c>
      <c r="H5" s="179"/>
      <c r="I5" s="191"/>
      <c r="J5" s="175"/>
      <c r="K5" s="192">
        <f t="shared" si="0"/>
        <v>0</v>
      </c>
      <c r="L5" s="193">
        <f t="shared" si="1"/>
        <v>0</v>
      </c>
      <c r="M5" s="174"/>
      <c r="N5" s="194"/>
      <c r="O5" s="195">
        <f>SUM(L5-M5-N5+O4+P5)</f>
        <v>250</v>
      </c>
      <c r="P5" s="196"/>
      <c r="Q5" s="178"/>
      <c r="R5" s="179"/>
      <c r="S5" s="180"/>
      <c r="T5" s="181"/>
      <c r="U5" s="124"/>
      <c r="V5" s="124"/>
      <c r="W5" s="135"/>
      <c r="X5" s="182">
        <v>3</v>
      </c>
      <c r="Y5" s="204"/>
      <c r="Z5" s="205"/>
      <c r="AA5" s="206"/>
      <c r="AB5" s="206"/>
      <c r="AC5" s="186"/>
      <c r="AD5" s="186"/>
      <c r="AE5" s="187">
        <f t="shared" si="2"/>
        <v>0</v>
      </c>
      <c r="AF5" s="206"/>
      <c r="AG5" s="206"/>
      <c r="AH5" s="188"/>
      <c r="AI5" s="189"/>
      <c r="AJ5" s="187">
        <v>0</v>
      </c>
      <c r="AK5" s="25"/>
      <c r="AL5" s="124"/>
      <c r="AM5" s="124"/>
      <c r="AN5" s="32"/>
      <c r="AQ5" s="100"/>
      <c r="AR5" s="70"/>
      <c r="AS5" s="71"/>
      <c r="AT5" s="71"/>
      <c r="AU5" s="71"/>
      <c r="AV5" s="59"/>
      <c r="AW5" s="100"/>
      <c r="AY5" s="12"/>
      <c r="AZ5" s="2"/>
      <c r="BA5" s="12"/>
      <c r="BB5" s="2"/>
    </row>
    <row r="6" spans="1:57" ht="19.5" thickBot="1" x14ac:dyDescent="0.35">
      <c r="A6" s="166">
        <v>44715</v>
      </c>
      <c r="B6" s="190"/>
      <c r="C6" s="179"/>
      <c r="D6" s="179"/>
      <c r="E6" s="175"/>
      <c r="F6" s="170">
        <f t="shared" si="3"/>
        <v>0</v>
      </c>
      <c r="G6" s="171">
        <f t="shared" si="4"/>
        <v>0</v>
      </c>
      <c r="H6" s="179"/>
      <c r="I6" s="191"/>
      <c r="J6" s="175"/>
      <c r="K6" s="192">
        <f t="shared" si="0"/>
        <v>0</v>
      </c>
      <c r="L6" s="193">
        <f t="shared" si="1"/>
        <v>0</v>
      </c>
      <c r="M6" s="174"/>
      <c r="N6" s="194"/>
      <c r="O6" s="195">
        <f>SUM(L6-M6-N6+O5+P6)</f>
        <v>250</v>
      </c>
      <c r="P6" s="196"/>
      <c r="Q6" s="178"/>
      <c r="R6" s="179"/>
      <c r="S6" s="198"/>
      <c r="T6" s="199"/>
      <c r="U6" s="124"/>
      <c r="V6" s="124"/>
      <c r="W6" s="135"/>
      <c r="X6" s="182">
        <v>4</v>
      </c>
      <c r="Y6" s="183"/>
      <c r="Z6" s="184"/>
      <c r="AA6" s="185"/>
      <c r="AB6" s="207"/>
      <c r="AC6" s="186"/>
      <c r="AD6" s="186"/>
      <c r="AE6" s="187">
        <f t="shared" si="2"/>
        <v>0</v>
      </c>
      <c r="AF6" s="185"/>
      <c r="AG6" s="185"/>
      <c r="AH6" s="188"/>
      <c r="AI6" s="189"/>
      <c r="AJ6" s="187">
        <v>0</v>
      </c>
      <c r="AK6" s="301"/>
      <c r="AL6" s="124"/>
      <c r="AM6" s="124"/>
      <c r="AN6" s="34"/>
      <c r="AQ6" s="100"/>
      <c r="AR6" s="70"/>
      <c r="AS6" s="71"/>
      <c r="AT6" s="71"/>
      <c r="AU6" s="71"/>
      <c r="AV6" s="59"/>
      <c r="AW6" s="100"/>
      <c r="AY6" s="12"/>
      <c r="AZ6" s="2"/>
      <c r="BA6" s="12"/>
      <c r="BB6" s="2"/>
    </row>
    <row r="7" spans="1:57" ht="16.5" thickBot="1" x14ac:dyDescent="0.3">
      <c r="A7" s="166">
        <v>44716</v>
      </c>
      <c r="B7" s="190"/>
      <c r="C7" s="179"/>
      <c r="D7" s="179"/>
      <c r="E7" s="175"/>
      <c r="F7" s="170">
        <f t="shared" si="3"/>
        <v>0</v>
      </c>
      <c r="G7" s="171">
        <f t="shared" si="4"/>
        <v>0</v>
      </c>
      <c r="H7" s="179"/>
      <c r="I7" s="191"/>
      <c r="J7" s="175"/>
      <c r="K7" s="192">
        <f t="shared" si="0"/>
        <v>0</v>
      </c>
      <c r="L7" s="193">
        <f t="shared" si="1"/>
        <v>0</v>
      </c>
      <c r="M7" s="174"/>
      <c r="N7" s="194"/>
      <c r="O7" s="195">
        <f>SUM(L7-M7-N7+O6+P7)</f>
        <v>250</v>
      </c>
      <c r="P7" s="196"/>
      <c r="Q7" s="178"/>
      <c r="R7" s="179"/>
      <c r="S7" s="180"/>
      <c r="T7" s="199"/>
      <c r="U7" s="124"/>
      <c r="V7" s="124"/>
      <c r="W7" s="135"/>
      <c r="X7" s="182">
        <v>5</v>
      </c>
      <c r="Y7" s="200"/>
      <c r="Z7" s="201"/>
      <c r="AA7" s="182"/>
      <c r="AB7" s="182"/>
      <c r="AC7" s="108"/>
      <c r="AD7" s="108"/>
      <c r="AE7" s="108">
        <f t="shared" si="2"/>
        <v>0</v>
      </c>
      <c r="AF7" s="182"/>
      <c r="AG7" s="208"/>
      <c r="AH7" s="202"/>
      <c r="AI7" s="203"/>
      <c r="AJ7" s="108">
        <v>0</v>
      </c>
      <c r="AK7" s="23"/>
      <c r="AL7" s="124"/>
      <c r="AM7" s="124"/>
      <c r="AN7" s="24"/>
      <c r="AQ7" s="100"/>
      <c r="AR7" s="70"/>
      <c r="AS7" s="59"/>
      <c r="AT7" s="59"/>
      <c r="AU7" s="71"/>
      <c r="AV7" s="59"/>
      <c r="AW7" s="100"/>
      <c r="AY7" s="2"/>
      <c r="AZ7" s="2"/>
      <c r="BA7" s="12"/>
      <c r="BB7" s="2"/>
    </row>
    <row r="8" spans="1:57" ht="19.5" thickBot="1" x14ac:dyDescent="0.35">
      <c r="A8" s="166">
        <v>44717</v>
      </c>
      <c r="B8" s="190"/>
      <c r="C8" s="179"/>
      <c r="D8" s="179"/>
      <c r="E8" s="175"/>
      <c r="F8" s="170">
        <f t="shared" si="3"/>
        <v>0</v>
      </c>
      <c r="G8" s="171">
        <f t="shared" si="4"/>
        <v>0</v>
      </c>
      <c r="H8" s="179"/>
      <c r="I8" s="191"/>
      <c r="J8" s="175"/>
      <c r="K8" s="192">
        <f t="shared" si="0"/>
        <v>0</v>
      </c>
      <c r="L8" s="193">
        <f t="shared" si="1"/>
        <v>0</v>
      </c>
      <c r="M8" s="209"/>
      <c r="N8" s="194"/>
      <c r="O8" s="195">
        <f>SUM(L8-M8-N8+O7+P8)</f>
        <v>250</v>
      </c>
      <c r="P8" s="196"/>
      <c r="Q8" s="178"/>
      <c r="R8" s="179"/>
      <c r="S8" s="180"/>
      <c r="T8" s="199"/>
      <c r="U8" s="124"/>
      <c r="V8" s="124"/>
      <c r="W8" s="135"/>
      <c r="X8" s="182">
        <v>6</v>
      </c>
      <c r="Y8" s="183"/>
      <c r="Z8" s="184"/>
      <c r="AA8" s="185"/>
      <c r="AB8" s="185"/>
      <c r="AC8" s="186"/>
      <c r="AD8" s="186"/>
      <c r="AE8" s="187">
        <f t="shared" si="2"/>
        <v>0</v>
      </c>
      <c r="AF8" s="206"/>
      <c r="AG8" s="185"/>
      <c r="AH8" s="188"/>
      <c r="AI8" s="189"/>
      <c r="AJ8" s="187">
        <v>0</v>
      </c>
      <c r="AK8" s="163"/>
      <c r="AL8" s="124"/>
      <c r="AM8" s="124"/>
      <c r="AN8" s="34"/>
      <c r="AQ8" s="100"/>
      <c r="AR8" s="59"/>
      <c r="AS8" s="71"/>
      <c r="AT8" s="71"/>
      <c r="AU8" s="71"/>
      <c r="AV8" s="59"/>
      <c r="AW8" s="100"/>
      <c r="AY8" s="2"/>
      <c r="AZ8" s="2"/>
      <c r="BA8" s="2"/>
      <c r="BB8" s="2"/>
    </row>
    <row r="9" spans="1:57" ht="16.5" thickBot="1" x14ac:dyDescent="0.3">
      <c r="A9" s="166">
        <v>44718</v>
      </c>
      <c r="B9" s="190"/>
      <c r="C9" s="179"/>
      <c r="D9" s="179"/>
      <c r="E9" s="175"/>
      <c r="F9" s="170">
        <f t="shared" si="3"/>
        <v>0</v>
      </c>
      <c r="G9" s="171">
        <f t="shared" si="4"/>
        <v>0</v>
      </c>
      <c r="H9" s="179"/>
      <c r="I9" s="191"/>
      <c r="J9" s="175"/>
      <c r="K9" s="192">
        <f t="shared" si="0"/>
        <v>0</v>
      </c>
      <c r="L9" s="193">
        <f t="shared" si="1"/>
        <v>0</v>
      </c>
      <c r="M9" s="174"/>
      <c r="N9" s="194"/>
      <c r="O9" s="195">
        <f t="shared" ref="O9:O33" si="5">SUM(L9-M9-N9+O8)</f>
        <v>250</v>
      </c>
      <c r="P9" s="196"/>
      <c r="Q9" s="178"/>
      <c r="R9" s="179"/>
      <c r="S9" s="180"/>
      <c r="T9" s="199"/>
      <c r="U9" s="124"/>
      <c r="V9" s="124"/>
      <c r="W9" s="135"/>
      <c r="X9" s="182">
        <v>7</v>
      </c>
      <c r="Y9" s="200"/>
      <c r="Z9" s="201"/>
      <c r="AA9" s="182"/>
      <c r="AB9" s="182"/>
      <c r="AC9" s="210"/>
      <c r="AD9" s="210"/>
      <c r="AE9" s="108">
        <f t="shared" si="2"/>
        <v>0</v>
      </c>
      <c r="AF9" s="182"/>
      <c r="AG9" s="182"/>
      <c r="AH9" s="202"/>
      <c r="AI9" s="203"/>
      <c r="AJ9" s="108">
        <f>AE9</f>
        <v>0</v>
      </c>
      <c r="AK9" s="163"/>
      <c r="AL9" s="124"/>
      <c r="AM9" s="124"/>
      <c r="AN9" s="24"/>
      <c r="AQ9" s="100"/>
      <c r="AR9" s="70"/>
      <c r="AS9" s="59"/>
      <c r="AT9" s="59"/>
      <c r="AU9" s="59"/>
      <c r="AV9" s="59"/>
      <c r="AW9" s="100"/>
      <c r="AY9" s="2"/>
      <c r="AZ9" s="2"/>
      <c r="BA9" s="2"/>
      <c r="BB9" s="2"/>
    </row>
    <row r="10" spans="1:57" ht="19.5" thickBot="1" x14ac:dyDescent="0.35">
      <c r="A10" s="166">
        <v>44719</v>
      </c>
      <c r="B10" s="190"/>
      <c r="C10" s="179"/>
      <c r="D10" s="179"/>
      <c r="E10" s="175"/>
      <c r="F10" s="170">
        <f t="shared" si="3"/>
        <v>0</v>
      </c>
      <c r="G10" s="171">
        <f t="shared" si="4"/>
        <v>0</v>
      </c>
      <c r="H10" s="179"/>
      <c r="I10" s="191"/>
      <c r="J10" s="175"/>
      <c r="K10" s="192">
        <f t="shared" si="0"/>
        <v>0</v>
      </c>
      <c r="L10" s="193">
        <f t="shared" si="1"/>
        <v>0</v>
      </c>
      <c r="M10" s="174"/>
      <c r="N10" s="194"/>
      <c r="O10" s="195">
        <f t="shared" si="5"/>
        <v>250</v>
      </c>
      <c r="P10" s="196"/>
      <c r="Q10" s="178"/>
      <c r="R10" s="179"/>
      <c r="S10" s="180"/>
      <c r="T10" s="199"/>
      <c r="U10" s="124"/>
      <c r="V10" s="124"/>
      <c r="W10" s="135"/>
      <c r="X10" s="182">
        <v>8</v>
      </c>
      <c r="Y10" s="200"/>
      <c r="Z10" s="201"/>
      <c r="AA10" s="182"/>
      <c r="AB10" s="182"/>
      <c r="AC10" s="210"/>
      <c r="AD10" s="210"/>
      <c r="AE10" s="108">
        <f t="shared" ref="AE10:AE29" si="6">SUM(AC10:AD10)</f>
        <v>0</v>
      </c>
      <c r="AF10" s="182"/>
      <c r="AG10" s="182"/>
      <c r="AH10" s="202"/>
      <c r="AI10" s="203"/>
      <c r="AJ10" s="108">
        <f t="shared" ref="AJ10:AJ29" si="7">AE10</f>
        <v>0</v>
      </c>
      <c r="AK10" s="163"/>
      <c r="AL10" s="124"/>
      <c r="AM10" s="124"/>
      <c r="AN10" s="22"/>
      <c r="AQ10" s="100"/>
      <c r="AR10" s="59"/>
      <c r="AS10" s="59"/>
      <c r="AT10" s="59"/>
      <c r="AU10" s="59"/>
      <c r="AV10" s="59"/>
      <c r="AW10" s="100"/>
      <c r="AY10" s="2"/>
      <c r="AZ10" s="2"/>
      <c r="BA10" s="2"/>
      <c r="BB10" s="2"/>
    </row>
    <row r="11" spans="1:57" ht="19.5" thickBot="1" x14ac:dyDescent="0.35">
      <c r="A11" s="166">
        <v>44720</v>
      </c>
      <c r="B11" s="190"/>
      <c r="C11" s="179"/>
      <c r="D11" s="179"/>
      <c r="E11" s="175"/>
      <c r="F11" s="170">
        <f t="shared" si="3"/>
        <v>0</v>
      </c>
      <c r="G11" s="171">
        <f t="shared" si="4"/>
        <v>0</v>
      </c>
      <c r="H11" s="179"/>
      <c r="I11" s="191"/>
      <c r="J11" s="175"/>
      <c r="K11" s="192">
        <f t="shared" si="0"/>
        <v>0</v>
      </c>
      <c r="L11" s="193">
        <f t="shared" si="1"/>
        <v>0</v>
      </c>
      <c r="M11" s="174"/>
      <c r="N11" s="194"/>
      <c r="O11" s="195">
        <f t="shared" si="5"/>
        <v>250</v>
      </c>
      <c r="P11" s="196"/>
      <c r="Q11" s="211"/>
      <c r="R11" s="212"/>
      <c r="S11" s="198"/>
      <c r="T11" s="213"/>
      <c r="U11" s="124"/>
      <c r="V11" s="124"/>
      <c r="W11" s="135"/>
      <c r="X11" s="182">
        <v>9</v>
      </c>
      <c r="Y11" s="200"/>
      <c r="Z11" s="201"/>
      <c r="AA11" s="182"/>
      <c r="AB11" s="182"/>
      <c r="AC11" s="108"/>
      <c r="AD11" s="108"/>
      <c r="AE11" s="108">
        <f t="shared" si="6"/>
        <v>0</v>
      </c>
      <c r="AF11" s="182"/>
      <c r="AG11" s="182"/>
      <c r="AH11" s="202"/>
      <c r="AI11" s="203"/>
      <c r="AJ11" s="108">
        <f t="shared" si="7"/>
        <v>0</v>
      </c>
      <c r="AK11" s="163"/>
      <c r="AL11" s="124"/>
      <c r="AM11" s="124"/>
      <c r="AN11" s="22"/>
      <c r="AQ11" s="100"/>
      <c r="AR11" s="59"/>
      <c r="AS11" s="59"/>
      <c r="AT11" s="59"/>
      <c r="AU11" s="59"/>
      <c r="AV11" s="75"/>
      <c r="AW11" s="100"/>
      <c r="AY11" s="2"/>
      <c r="AZ11" s="2"/>
      <c r="BA11" s="2"/>
      <c r="BB11" s="2"/>
    </row>
    <row r="12" spans="1:57" ht="19.5" thickBot="1" x14ac:dyDescent="0.35">
      <c r="A12" s="166">
        <v>44721</v>
      </c>
      <c r="B12" s="190"/>
      <c r="C12" s="179"/>
      <c r="D12" s="179"/>
      <c r="E12" s="175"/>
      <c r="F12" s="170">
        <f t="shared" si="3"/>
        <v>0</v>
      </c>
      <c r="G12" s="171">
        <f t="shared" si="4"/>
        <v>0</v>
      </c>
      <c r="H12" s="179"/>
      <c r="I12" s="191"/>
      <c r="J12" s="175"/>
      <c r="K12" s="192">
        <f t="shared" si="0"/>
        <v>0</v>
      </c>
      <c r="L12" s="193">
        <f t="shared" si="1"/>
        <v>0</v>
      </c>
      <c r="M12" s="214"/>
      <c r="N12" s="194"/>
      <c r="O12" s="195">
        <f t="shared" si="5"/>
        <v>250</v>
      </c>
      <c r="P12" s="196"/>
      <c r="Q12" s="211"/>
      <c r="R12" s="212"/>
      <c r="S12" s="198"/>
      <c r="T12" s="213"/>
      <c r="U12" s="124"/>
      <c r="V12" s="124"/>
      <c r="W12" s="135"/>
      <c r="X12" s="182">
        <v>10</v>
      </c>
      <c r="Y12" s="200"/>
      <c r="Z12" s="201"/>
      <c r="AA12" s="182"/>
      <c r="AB12" s="182"/>
      <c r="AC12" s="108"/>
      <c r="AD12" s="108"/>
      <c r="AE12" s="108">
        <f t="shared" si="6"/>
        <v>0</v>
      </c>
      <c r="AF12" s="182"/>
      <c r="AG12" s="182"/>
      <c r="AH12" s="202"/>
      <c r="AI12" s="203"/>
      <c r="AJ12" s="108">
        <f t="shared" si="7"/>
        <v>0</v>
      </c>
      <c r="AK12" s="163"/>
      <c r="AL12" s="124"/>
      <c r="AM12" s="124"/>
      <c r="AN12" s="22"/>
      <c r="AQ12" s="100"/>
      <c r="AR12" s="75"/>
      <c r="AS12" s="59"/>
      <c r="AT12" s="59"/>
      <c r="AU12" s="59"/>
      <c r="AV12" s="75"/>
      <c r="AW12" s="100"/>
      <c r="AY12" s="2"/>
      <c r="AZ12" s="2"/>
      <c r="BA12" s="2"/>
      <c r="BB12" s="2"/>
    </row>
    <row r="13" spans="1:57" ht="19.5" thickBot="1" x14ac:dyDescent="0.35">
      <c r="A13" s="166">
        <v>44722</v>
      </c>
      <c r="B13" s="190"/>
      <c r="C13" s="179"/>
      <c r="D13" s="179"/>
      <c r="E13" s="175"/>
      <c r="F13" s="170">
        <f t="shared" si="3"/>
        <v>0</v>
      </c>
      <c r="G13" s="171">
        <f t="shared" si="4"/>
        <v>0</v>
      </c>
      <c r="H13" s="179"/>
      <c r="I13" s="191"/>
      <c r="J13" s="175"/>
      <c r="K13" s="192">
        <f t="shared" si="0"/>
        <v>0</v>
      </c>
      <c r="L13" s="193">
        <f t="shared" si="1"/>
        <v>0</v>
      </c>
      <c r="M13" s="174"/>
      <c r="N13" s="194"/>
      <c r="O13" s="195">
        <f t="shared" si="5"/>
        <v>250</v>
      </c>
      <c r="P13" s="196"/>
      <c r="Q13" s="215"/>
      <c r="R13" s="212"/>
      <c r="S13" s="198"/>
      <c r="T13" s="199"/>
      <c r="U13" s="124"/>
      <c r="V13" s="124"/>
      <c r="W13" s="135"/>
      <c r="X13" s="182">
        <v>11</v>
      </c>
      <c r="Y13" s="200"/>
      <c r="Z13" s="201"/>
      <c r="AA13" s="182"/>
      <c r="AB13" s="182"/>
      <c r="AC13" s="108"/>
      <c r="AD13" s="108"/>
      <c r="AE13" s="108">
        <f t="shared" si="6"/>
        <v>0</v>
      </c>
      <c r="AF13" s="182"/>
      <c r="AG13" s="216"/>
      <c r="AH13" s="202"/>
      <c r="AI13" s="203"/>
      <c r="AJ13" s="108">
        <f t="shared" si="7"/>
        <v>0</v>
      </c>
      <c r="AK13" s="301"/>
      <c r="AL13" s="124"/>
      <c r="AM13" s="124"/>
      <c r="AN13" s="16"/>
      <c r="AQ13" s="100"/>
      <c r="AR13" s="75"/>
      <c r="AS13" s="59"/>
      <c r="AT13" s="59"/>
      <c r="AU13" s="59"/>
      <c r="AV13" s="75"/>
      <c r="AW13" s="100"/>
    </row>
    <row r="14" spans="1:57" ht="19.5" thickBot="1" x14ac:dyDescent="0.35">
      <c r="A14" s="166">
        <v>44723</v>
      </c>
      <c r="B14" s="190"/>
      <c r="C14" s="179"/>
      <c r="D14" s="179"/>
      <c r="E14" s="175"/>
      <c r="F14" s="170">
        <f t="shared" si="3"/>
        <v>0</v>
      </c>
      <c r="G14" s="171">
        <f t="shared" si="4"/>
        <v>0</v>
      </c>
      <c r="H14" s="179"/>
      <c r="I14" s="191"/>
      <c r="J14" s="175"/>
      <c r="K14" s="192">
        <f t="shared" si="0"/>
        <v>0</v>
      </c>
      <c r="L14" s="193">
        <f t="shared" si="1"/>
        <v>0</v>
      </c>
      <c r="M14" s="174"/>
      <c r="N14" s="194"/>
      <c r="O14" s="195">
        <f t="shared" si="5"/>
        <v>250</v>
      </c>
      <c r="P14" s="196"/>
      <c r="Q14" s="215"/>
      <c r="R14" s="212"/>
      <c r="S14" s="198"/>
      <c r="T14" s="199"/>
      <c r="U14" s="124"/>
      <c r="V14" s="124"/>
      <c r="W14" s="135"/>
      <c r="X14" s="182">
        <v>12</v>
      </c>
      <c r="Y14" s="217"/>
      <c r="Z14" s="201"/>
      <c r="AA14" s="182"/>
      <c r="AB14" s="182"/>
      <c r="AC14" s="210"/>
      <c r="AD14" s="210"/>
      <c r="AE14" s="108">
        <f t="shared" si="6"/>
        <v>0</v>
      </c>
      <c r="AF14" s="182"/>
      <c r="AG14" s="216"/>
      <c r="AH14" s="202"/>
      <c r="AI14" s="203"/>
      <c r="AJ14" s="108">
        <f t="shared" si="7"/>
        <v>0</v>
      </c>
      <c r="AK14" s="301"/>
      <c r="AL14" s="124"/>
      <c r="AM14" s="124"/>
      <c r="AN14" s="16"/>
      <c r="AO14" s="4"/>
      <c r="AQ14" s="100"/>
      <c r="AR14" s="59"/>
      <c r="AS14" s="59"/>
      <c r="AT14" s="59"/>
      <c r="AU14" s="59"/>
      <c r="AV14" s="75"/>
      <c r="AW14" s="100"/>
    </row>
    <row r="15" spans="1:57" ht="19.5" thickBot="1" x14ac:dyDescent="0.35">
      <c r="A15" s="166">
        <v>44724</v>
      </c>
      <c r="B15" s="190"/>
      <c r="C15" s="179"/>
      <c r="D15" s="179"/>
      <c r="E15" s="175"/>
      <c r="F15" s="170">
        <f t="shared" si="3"/>
        <v>0</v>
      </c>
      <c r="G15" s="171">
        <f t="shared" si="4"/>
        <v>0</v>
      </c>
      <c r="H15" s="179"/>
      <c r="I15" s="191"/>
      <c r="J15" s="175"/>
      <c r="K15" s="192">
        <f t="shared" si="0"/>
        <v>0</v>
      </c>
      <c r="L15" s="193">
        <f t="shared" si="1"/>
        <v>0</v>
      </c>
      <c r="M15" s="174"/>
      <c r="N15" s="194"/>
      <c r="O15" s="195">
        <f t="shared" si="5"/>
        <v>250</v>
      </c>
      <c r="P15" s="196"/>
      <c r="Q15" s="218"/>
      <c r="R15" s="179"/>
      <c r="S15" s="180"/>
      <c r="T15" s="199"/>
      <c r="U15" s="124"/>
      <c r="V15" s="124"/>
      <c r="W15" s="135"/>
      <c r="X15" s="182">
        <v>13</v>
      </c>
      <c r="Y15" s="200"/>
      <c r="Z15" s="201"/>
      <c r="AA15" s="182"/>
      <c r="AB15" s="182"/>
      <c r="AC15" s="210"/>
      <c r="AD15" s="210"/>
      <c r="AE15" s="108">
        <f t="shared" si="6"/>
        <v>0</v>
      </c>
      <c r="AF15" s="182"/>
      <c r="AG15" s="182"/>
      <c r="AH15" s="202"/>
      <c r="AI15" s="203"/>
      <c r="AJ15" s="108">
        <f t="shared" si="7"/>
        <v>0</v>
      </c>
      <c r="AK15" s="301"/>
      <c r="AL15" s="124"/>
      <c r="AM15" s="124"/>
      <c r="AN15" s="16"/>
      <c r="AQ15" s="100"/>
      <c r="AR15" s="59"/>
      <c r="AS15" s="59"/>
      <c r="AT15" s="59"/>
      <c r="AU15" s="59"/>
      <c r="AV15" s="75"/>
      <c r="AW15" s="100"/>
    </row>
    <row r="16" spans="1:57" ht="19.5" thickBot="1" x14ac:dyDescent="0.35">
      <c r="A16" s="166">
        <v>44725</v>
      </c>
      <c r="B16" s="190"/>
      <c r="C16" s="179"/>
      <c r="D16" s="179"/>
      <c r="E16" s="175"/>
      <c r="F16" s="170">
        <f t="shared" si="3"/>
        <v>0</v>
      </c>
      <c r="G16" s="171">
        <f t="shared" si="4"/>
        <v>0</v>
      </c>
      <c r="H16" s="179"/>
      <c r="I16" s="191"/>
      <c r="J16" s="175"/>
      <c r="K16" s="192">
        <f t="shared" si="0"/>
        <v>0</v>
      </c>
      <c r="L16" s="193">
        <f t="shared" si="1"/>
        <v>0</v>
      </c>
      <c r="M16" s="209"/>
      <c r="N16" s="194"/>
      <c r="O16" s="195">
        <f t="shared" si="5"/>
        <v>250</v>
      </c>
      <c r="P16" s="196"/>
      <c r="Q16" s="219"/>
      <c r="R16" s="179"/>
      <c r="S16" s="180"/>
      <c r="T16" s="199"/>
      <c r="U16" s="124"/>
      <c r="V16" s="124"/>
      <c r="W16" s="135"/>
      <c r="X16" s="182">
        <v>14</v>
      </c>
      <c r="Y16" s="200"/>
      <c r="Z16" s="201"/>
      <c r="AA16" s="182"/>
      <c r="AB16" s="182"/>
      <c r="AC16" s="210"/>
      <c r="AD16" s="210"/>
      <c r="AE16" s="108">
        <f t="shared" si="6"/>
        <v>0</v>
      </c>
      <c r="AF16" s="182"/>
      <c r="AG16" s="182"/>
      <c r="AH16" s="202"/>
      <c r="AI16" s="203"/>
      <c r="AJ16" s="108">
        <f t="shared" si="7"/>
        <v>0</v>
      </c>
      <c r="AK16" s="301"/>
      <c r="AL16" s="124"/>
      <c r="AM16" s="124"/>
      <c r="AN16" s="16"/>
      <c r="AQ16" s="100"/>
      <c r="AR16" s="59"/>
      <c r="AS16" s="59"/>
      <c r="AT16" s="59"/>
      <c r="AU16" s="59"/>
      <c r="AV16" s="75"/>
      <c r="AW16" s="100"/>
    </row>
    <row r="17" spans="1:54" ht="19.5" thickBot="1" x14ac:dyDescent="0.35">
      <c r="A17" s="166">
        <v>44726</v>
      </c>
      <c r="B17" s="190"/>
      <c r="C17" s="179"/>
      <c r="D17" s="179"/>
      <c r="E17" s="175"/>
      <c r="F17" s="170">
        <f t="shared" si="3"/>
        <v>0</v>
      </c>
      <c r="G17" s="171">
        <f t="shared" si="4"/>
        <v>0</v>
      </c>
      <c r="H17" s="179"/>
      <c r="I17" s="191"/>
      <c r="J17" s="175"/>
      <c r="K17" s="192">
        <f t="shared" si="0"/>
        <v>0</v>
      </c>
      <c r="L17" s="193">
        <f t="shared" si="1"/>
        <v>0</v>
      </c>
      <c r="M17" s="209"/>
      <c r="N17" s="194"/>
      <c r="O17" s="195">
        <f>SUM(L17-M17-N17+O16+P17)</f>
        <v>250</v>
      </c>
      <c r="P17" s="196"/>
      <c r="Q17" s="218"/>
      <c r="R17" s="179"/>
      <c r="S17" s="180"/>
      <c r="T17" s="199"/>
      <c r="U17" s="124"/>
      <c r="V17" s="124"/>
      <c r="W17" s="135"/>
      <c r="X17" s="182">
        <v>15</v>
      </c>
      <c r="Y17" s="200"/>
      <c r="Z17" s="201"/>
      <c r="AA17" s="182"/>
      <c r="AB17" s="182"/>
      <c r="AC17" s="210"/>
      <c r="AD17" s="210"/>
      <c r="AE17" s="108">
        <f t="shared" si="6"/>
        <v>0</v>
      </c>
      <c r="AF17" s="182"/>
      <c r="AG17" s="216"/>
      <c r="AH17" s="202"/>
      <c r="AI17" s="203"/>
      <c r="AJ17" s="108">
        <f t="shared" si="7"/>
        <v>0</v>
      </c>
      <c r="AK17" s="301"/>
      <c r="AL17" s="124"/>
      <c r="AM17" s="124"/>
      <c r="AN17" s="16"/>
      <c r="AQ17" s="100"/>
      <c r="AR17" s="59"/>
      <c r="AS17" s="59"/>
      <c r="AT17" s="59"/>
      <c r="AU17" s="59"/>
      <c r="AV17" s="75"/>
      <c r="AW17" s="100"/>
    </row>
    <row r="18" spans="1:54" ht="19.5" thickBot="1" x14ac:dyDescent="0.35">
      <c r="A18" s="166">
        <v>44727</v>
      </c>
      <c r="B18" s="190"/>
      <c r="C18" s="179">
        <v>878.04</v>
      </c>
      <c r="D18" s="179"/>
      <c r="E18" s="175">
        <v>36</v>
      </c>
      <c r="F18" s="170">
        <f t="shared" si="3"/>
        <v>914.04</v>
      </c>
      <c r="G18" s="171">
        <f t="shared" si="4"/>
        <v>914.04</v>
      </c>
      <c r="H18" s="179">
        <v>895.14</v>
      </c>
      <c r="I18" s="191"/>
      <c r="J18" s="175"/>
      <c r="K18" s="192">
        <f t="shared" si="0"/>
        <v>18.899999999999977</v>
      </c>
      <c r="L18" s="193">
        <f t="shared" si="1"/>
        <v>18.899999999999977</v>
      </c>
      <c r="M18" s="174"/>
      <c r="N18" s="220"/>
      <c r="O18" s="195">
        <f>SUM(L18-M18-N18+O17+P18)</f>
        <v>268.89999999999998</v>
      </c>
      <c r="P18" s="196"/>
      <c r="Q18" s="218"/>
      <c r="R18" s="179"/>
      <c r="S18" s="180"/>
      <c r="T18" s="199"/>
      <c r="U18" s="124"/>
      <c r="V18" s="124"/>
      <c r="W18" s="135"/>
      <c r="X18" s="182">
        <v>16</v>
      </c>
      <c r="Y18" s="200"/>
      <c r="Z18" s="201"/>
      <c r="AA18" s="182"/>
      <c r="AB18" s="182"/>
      <c r="AC18" s="108"/>
      <c r="AD18" s="108"/>
      <c r="AE18" s="108">
        <f t="shared" si="6"/>
        <v>0</v>
      </c>
      <c r="AF18" s="182"/>
      <c r="AG18" s="182"/>
      <c r="AH18" s="202"/>
      <c r="AI18" s="203"/>
      <c r="AJ18" s="108">
        <f t="shared" si="7"/>
        <v>0</v>
      </c>
      <c r="AK18" s="301"/>
      <c r="AL18" s="124"/>
      <c r="AM18" s="124"/>
      <c r="AN18" s="16"/>
      <c r="AQ18" s="100"/>
      <c r="AR18" s="59"/>
      <c r="AS18" s="59"/>
      <c r="AT18" s="59"/>
      <c r="AU18" s="59"/>
      <c r="AV18" s="59"/>
      <c r="AW18" s="100"/>
    </row>
    <row r="19" spans="1:54" ht="19.5" thickBot="1" x14ac:dyDescent="0.35">
      <c r="A19" s="166">
        <v>44728</v>
      </c>
      <c r="B19" s="190"/>
      <c r="C19" s="179"/>
      <c r="D19" s="179"/>
      <c r="E19" s="175"/>
      <c r="F19" s="170">
        <f t="shared" si="3"/>
        <v>0</v>
      </c>
      <c r="G19" s="171">
        <f t="shared" si="4"/>
        <v>0</v>
      </c>
      <c r="H19" s="179"/>
      <c r="I19" s="191"/>
      <c r="J19" s="175"/>
      <c r="K19" s="192">
        <f t="shared" si="0"/>
        <v>0</v>
      </c>
      <c r="L19" s="193">
        <f t="shared" si="1"/>
        <v>0</v>
      </c>
      <c r="M19" s="174"/>
      <c r="N19" s="194"/>
      <c r="O19" s="195">
        <f>SUM(L19-M19-N19+O18+P19)</f>
        <v>268.89999999999998</v>
      </c>
      <c r="P19" s="196"/>
      <c r="Q19" s="218"/>
      <c r="R19" s="179"/>
      <c r="S19" s="180"/>
      <c r="T19" s="199"/>
      <c r="U19" s="124"/>
      <c r="V19" s="124"/>
      <c r="W19" s="135"/>
      <c r="X19" s="182">
        <v>17</v>
      </c>
      <c r="Y19" s="200"/>
      <c r="Z19" s="201"/>
      <c r="AA19" s="182"/>
      <c r="AB19" s="182"/>
      <c r="AC19" s="210"/>
      <c r="AD19" s="210"/>
      <c r="AE19" s="108">
        <f t="shared" si="6"/>
        <v>0</v>
      </c>
      <c r="AF19" s="208"/>
      <c r="AG19" s="182"/>
      <c r="AH19" s="202"/>
      <c r="AI19" s="203"/>
      <c r="AJ19" s="108">
        <f t="shared" si="7"/>
        <v>0</v>
      </c>
      <c r="AK19" s="301"/>
      <c r="AL19" s="124"/>
      <c r="AM19" s="124"/>
      <c r="AN19" s="16"/>
      <c r="AQ19" s="100"/>
      <c r="AR19" s="59"/>
      <c r="AS19" s="59"/>
      <c r="AT19" s="59"/>
      <c r="AU19" s="59"/>
      <c r="AV19" s="59"/>
      <c r="AW19" s="100"/>
    </row>
    <row r="20" spans="1:54" ht="19.5" thickBot="1" x14ac:dyDescent="0.35">
      <c r="A20" s="166">
        <v>44729</v>
      </c>
      <c r="B20" s="190"/>
      <c r="C20" s="179"/>
      <c r="D20" s="179"/>
      <c r="E20" s="175"/>
      <c r="F20" s="170">
        <f t="shared" si="3"/>
        <v>0</v>
      </c>
      <c r="G20" s="171">
        <f t="shared" si="4"/>
        <v>0</v>
      </c>
      <c r="H20" s="179"/>
      <c r="I20" s="191"/>
      <c r="J20" s="175"/>
      <c r="K20" s="192">
        <f t="shared" si="0"/>
        <v>0</v>
      </c>
      <c r="L20" s="193">
        <f t="shared" si="1"/>
        <v>0</v>
      </c>
      <c r="M20" s="174"/>
      <c r="N20" s="194"/>
      <c r="O20" s="195">
        <f>SUM(L20-M20-N20+O19+P20)</f>
        <v>268.89999999999998</v>
      </c>
      <c r="P20" s="196"/>
      <c r="Q20" s="218"/>
      <c r="R20" s="179"/>
      <c r="S20" s="180"/>
      <c r="T20" s="199"/>
      <c r="U20" s="124"/>
      <c r="V20" s="124"/>
      <c r="W20" s="135"/>
      <c r="X20" s="182">
        <v>18</v>
      </c>
      <c r="Y20" s="200"/>
      <c r="Z20" s="201"/>
      <c r="AA20" s="182"/>
      <c r="AB20" s="182"/>
      <c r="AC20" s="210"/>
      <c r="AD20" s="210"/>
      <c r="AE20" s="108">
        <f t="shared" si="6"/>
        <v>0</v>
      </c>
      <c r="AF20" s="182"/>
      <c r="AG20" s="216"/>
      <c r="AH20" s="202"/>
      <c r="AI20" s="203"/>
      <c r="AJ20" s="108">
        <f t="shared" si="7"/>
        <v>0</v>
      </c>
      <c r="AK20" s="301"/>
      <c r="AL20" s="124"/>
      <c r="AM20" s="124"/>
      <c r="AN20" s="22"/>
      <c r="AQ20" s="100"/>
      <c r="AR20" s="59"/>
      <c r="AS20" s="59"/>
      <c r="AT20" s="59"/>
      <c r="AU20" s="59"/>
      <c r="AV20" s="59"/>
      <c r="AW20" s="100"/>
    </row>
    <row r="21" spans="1:54" ht="19.5" thickBot="1" x14ac:dyDescent="0.35">
      <c r="A21" s="166">
        <v>44730</v>
      </c>
      <c r="B21" s="190"/>
      <c r="C21" s="179"/>
      <c r="D21" s="179"/>
      <c r="E21" s="175"/>
      <c r="F21" s="170">
        <f t="shared" si="3"/>
        <v>0</v>
      </c>
      <c r="G21" s="171">
        <f t="shared" si="4"/>
        <v>0</v>
      </c>
      <c r="H21" s="179"/>
      <c r="I21" s="191"/>
      <c r="J21" s="175"/>
      <c r="K21" s="192">
        <f t="shared" si="0"/>
        <v>0</v>
      </c>
      <c r="L21" s="193">
        <f t="shared" si="1"/>
        <v>0</v>
      </c>
      <c r="M21" s="174"/>
      <c r="N21" s="194"/>
      <c r="O21" s="195">
        <f t="shared" si="5"/>
        <v>268.89999999999998</v>
      </c>
      <c r="P21" s="196"/>
      <c r="Q21" s="218"/>
      <c r="R21" s="179"/>
      <c r="S21" s="180"/>
      <c r="T21" s="199"/>
      <c r="U21" s="124"/>
      <c r="V21" s="124"/>
      <c r="W21" s="135"/>
      <c r="X21" s="182">
        <v>19</v>
      </c>
      <c r="Y21" s="200"/>
      <c r="Z21" s="201"/>
      <c r="AA21" s="182"/>
      <c r="AB21" s="221"/>
      <c r="AC21" s="108"/>
      <c r="AD21" s="108"/>
      <c r="AE21" s="108">
        <f t="shared" si="6"/>
        <v>0</v>
      </c>
      <c r="AF21" s="182"/>
      <c r="AG21" s="182"/>
      <c r="AH21" s="202"/>
      <c r="AI21" s="203"/>
      <c r="AJ21" s="108">
        <f t="shared" si="7"/>
        <v>0</v>
      </c>
      <c r="AK21" s="301"/>
      <c r="AL21" s="124"/>
      <c r="AM21" s="124"/>
      <c r="AN21" s="22"/>
      <c r="AQ21" s="100"/>
      <c r="AR21" s="59"/>
      <c r="AS21" s="59"/>
      <c r="AT21" s="59"/>
      <c r="AU21" s="59"/>
      <c r="AV21" s="59"/>
      <c r="AW21" s="100"/>
    </row>
    <row r="22" spans="1:54" ht="19.5" thickBot="1" x14ac:dyDescent="0.35">
      <c r="A22" s="166">
        <v>44731</v>
      </c>
      <c r="B22" s="190"/>
      <c r="C22" s="179"/>
      <c r="D22" s="179"/>
      <c r="E22" s="175"/>
      <c r="F22" s="170">
        <f t="shared" si="3"/>
        <v>0</v>
      </c>
      <c r="G22" s="171">
        <f t="shared" si="4"/>
        <v>0</v>
      </c>
      <c r="H22" s="179"/>
      <c r="I22" s="191"/>
      <c r="J22" s="175"/>
      <c r="K22" s="192">
        <f t="shared" si="0"/>
        <v>0</v>
      </c>
      <c r="L22" s="193">
        <f t="shared" si="1"/>
        <v>0</v>
      </c>
      <c r="M22" s="174"/>
      <c r="N22" s="194"/>
      <c r="O22" s="195">
        <f t="shared" si="5"/>
        <v>268.89999999999998</v>
      </c>
      <c r="P22" s="196"/>
      <c r="Q22" s="218"/>
      <c r="R22" s="179"/>
      <c r="S22" s="180"/>
      <c r="T22" s="199"/>
      <c r="U22" s="124"/>
      <c r="V22" s="124"/>
      <c r="W22" s="135"/>
      <c r="X22" s="182">
        <v>20</v>
      </c>
      <c r="Y22" s="200"/>
      <c r="Z22" s="201"/>
      <c r="AA22" s="182"/>
      <c r="AB22" s="221"/>
      <c r="AC22" s="210"/>
      <c r="AD22" s="210"/>
      <c r="AE22" s="108">
        <f t="shared" si="6"/>
        <v>0</v>
      </c>
      <c r="AF22" s="182"/>
      <c r="AG22" s="182"/>
      <c r="AH22" s="202"/>
      <c r="AI22" s="203"/>
      <c r="AJ22" s="108">
        <f t="shared" si="7"/>
        <v>0</v>
      </c>
      <c r="AK22" s="301"/>
      <c r="AL22" s="124"/>
      <c r="AM22" s="124"/>
      <c r="AN22" s="16"/>
      <c r="AQ22" s="100"/>
      <c r="AR22" s="59"/>
      <c r="AS22" s="71"/>
      <c r="AT22" s="71"/>
      <c r="AU22" s="71"/>
      <c r="AV22" s="59"/>
      <c r="AW22" s="100"/>
    </row>
    <row r="23" spans="1:54" ht="19.5" thickBot="1" x14ac:dyDescent="0.35">
      <c r="A23" s="166">
        <v>44732</v>
      </c>
      <c r="B23" s="190"/>
      <c r="C23" s="179"/>
      <c r="D23" s="179"/>
      <c r="E23" s="175"/>
      <c r="F23" s="170">
        <f t="shared" si="3"/>
        <v>0</v>
      </c>
      <c r="G23" s="171">
        <f t="shared" si="4"/>
        <v>0</v>
      </c>
      <c r="H23" s="179"/>
      <c r="I23" s="191"/>
      <c r="J23" s="175"/>
      <c r="K23" s="192">
        <f t="shared" si="0"/>
        <v>0</v>
      </c>
      <c r="L23" s="193">
        <f t="shared" si="1"/>
        <v>0</v>
      </c>
      <c r="M23" s="174"/>
      <c r="N23" s="194"/>
      <c r="O23" s="195">
        <f t="shared" si="5"/>
        <v>268.89999999999998</v>
      </c>
      <c r="P23" s="196"/>
      <c r="Q23" s="211"/>
      <c r="R23" s="212"/>
      <c r="S23" s="180"/>
      <c r="T23" s="222"/>
      <c r="U23" s="124"/>
      <c r="V23" s="124"/>
      <c r="W23" s="135"/>
      <c r="X23" s="182">
        <v>21</v>
      </c>
      <c r="Y23" s="223"/>
      <c r="Z23" s="224"/>
      <c r="AA23" s="208"/>
      <c r="AB23" s="225"/>
      <c r="AC23" s="108"/>
      <c r="AD23" s="108"/>
      <c r="AE23" s="108">
        <f t="shared" si="6"/>
        <v>0</v>
      </c>
      <c r="AF23" s="208"/>
      <c r="AG23" s="226"/>
      <c r="AH23" s="202"/>
      <c r="AI23" s="203"/>
      <c r="AJ23" s="108">
        <f t="shared" si="7"/>
        <v>0</v>
      </c>
      <c r="AK23" s="301"/>
      <c r="AL23" s="124"/>
      <c r="AM23" s="124"/>
      <c r="AN23" s="16"/>
      <c r="AQ23" s="100"/>
      <c r="AR23" s="100"/>
      <c r="AS23" s="100"/>
      <c r="AT23" s="100"/>
      <c r="AU23" s="100"/>
      <c r="AV23" s="100"/>
      <c r="AW23" s="100"/>
    </row>
    <row r="24" spans="1:54" ht="19.5" thickBot="1" x14ac:dyDescent="0.35">
      <c r="A24" s="166">
        <v>44733</v>
      </c>
      <c r="B24" s="190"/>
      <c r="C24" s="179"/>
      <c r="D24" s="179"/>
      <c r="E24" s="175"/>
      <c r="F24" s="170">
        <f t="shared" si="3"/>
        <v>0</v>
      </c>
      <c r="G24" s="171">
        <f t="shared" si="4"/>
        <v>0</v>
      </c>
      <c r="H24" s="179"/>
      <c r="I24" s="191"/>
      <c r="J24" s="175"/>
      <c r="K24" s="192">
        <f t="shared" si="0"/>
        <v>0</v>
      </c>
      <c r="L24" s="193">
        <f t="shared" si="1"/>
        <v>0</v>
      </c>
      <c r="M24" s="209"/>
      <c r="N24" s="194"/>
      <c r="O24" s="195">
        <f>SUM(L24-M24-N24+O23+P24)</f>
        <v>268.89999999999998</v>
      </c>
      <c r="P24" s="196"/>
      <c r="Q24" s="211"/>
      <c r="R24" s="212"/>
      <c r="S24" s="180"/>
      <c r="T24" s="222"/>
      <c r="U24" s="124"/>
      <c r="V24" s="124"/>
      <c r="W24" s="135"/>
      <c r="X24" s="182">
        <v>22</v>
      </c>
      <c r="Y24" s="200"/>
      <c r="Z24" s="201"/>
      <c r="AA24" s="182"/>
      <c r="AB24" s="227"/>
      <c r="AC24" s="210"/>
      <c r="AD24" s="210"/>
      <c r="AE24" s="108">
        <f t="shared" si="6"/>
        <v>0</v>
      </c>
      <c r="AF24" s="182"/>
      <c r="AG24" s="226"/>
      <c r="AH24" s="202"/>
      <c r="AI24" s="203"/>
      <c r="AJ24" s="108">
        <f t="shared" si="7"/>
        <v>0</v>
      </c>
      <c r="AK24" s="301"/>
      <c r="AL24" s="124"/>
      <c r="AM24" s="124"/>
      <c r="AN24" s="16"/>
    </row>
    <row r="25" spans="1:54" ht="19.5" thickBot="1" x14ac:dyDescent="0.35">
      <c r="A25" s="166">
        <v>44734</v>
      </c>
      <c r="B25" s="190"/>
      <c r="C25" s="179"/>
      <c r="D25" s="179"/>
      <c r="E25" s="175"/>
      <c r="F25" s="170">
        <f t="shared" si="3"/>
        <v>0</v>
      </c>
      <c r="G25" s="171">
        <f t="shared" si="4"/>
        <v>0</v>
      </c>
      <c r="H25" s="179"/>
      <c r="I25" s="191"/>
      <c r="J25" s="175"/>
      <c r="K25" s="192">
        <f t="shared" si="0"/>
        <v>0</v>
      </c>
      <c r="L25" s="193">
        <f t="shared" si="1"/>
        <v>0</v>
      </c>
      <c r="M25" s="174"/>
      <c r="N25" s="194"/>
      <c r="O25" s="195">
        <f t="shared" si="5"/>
        <v>268.89999999999998</v>
      </c>
      <c r="P25" s="196"/>
      <c r="Q25" s="178"/>
      <c r="R25" s="179"/>
      <c r="S25" s="180"/>
      <c r="T25" s="181"/>
      <c r="U25" s="124"/>
      <c r="V25" s="124"/>
      <c r="W25" s="135"/>
      <c r="X25" s="182">
        <v>26</v>
      </c>
      <c r="Y25" s="223"/>
      <c r="Z25" s="224"/>
      <c r="AA25" s="208"/>
      <c r="AB25" s="228"/>
      <c r="AC25" s="210"/>
      <c r="AD25" s="210"/>
      <c r="AE25" s="108">
        <f t="shared" si="6"/>
        <v>0</v>
      </c>
      <c r="AF25" s="208"/>
      <c r="AG25" s="226"/>
      <c r="AH25" s="202"/>
      <c r="AI25" s="203"/>
      <c r="AJ25" s="108">
        <f t="shared" si="7"/>
        <v>0</v>
      </c>
      <c r="AK25" s="301"/>
      <c r="AL25" s="124"/>
      <c r="AM25" s="124"/>
      <c r="AN25" s="16"/>
      <c r="AW25" s="2"/>
    </row>
    <row r="26" spans="1:54" ht="19.5" thickBot="1" x14ac:dyDescent="0.35">
      <c r="A26" s="166">
        <v>44735</v>
      </c>
      <c r="B26" s="190"/>
      <c r="C26" s="179"/>
      <c r="D26" s="179"/>
      <c r="E26" s="175"/>
      <c r="F26" s="170">
        <f t="shared" si="3"/>
        <v>0</v>
      </c>
      <c r="G26" s="171">
        <f t="shared" si="4"/>
        <v>0</v>
      </c>
      <c r="H26" s="179"/>
      <c r="I26" s="191"/>
      <c r="J26" s="175"/>
      <c r="K26" s="192">
        <f t="shared" si="0"/>
        <v>0</v>
      </c>
      <c r="L26" s="193">
        <f t="shared" si="1"/>
        <v>0</v>
      </c>
      <c r="M26" s="174"/>
      <c r="N26" s="194"/>
      <c r="O26" s="195">
        <f t="shared" si="5"/>
        <v>268.89999999999998</v>
      </c>
      <c r="P26" s="196"/>
      <c r="Q26" s="178"/>
      <c r="R26" s="179"/>
      <c r="S26" s="180"/>
      <c r="T26" s="222"/>
      <c r="U26" s="124"/>
      <c r="V26" s="124"/>
      <c r="W26" s="135"/>
      <c r="X26" s="182">
        <v>27</v>
      </c>
      <c r="Y26" s="223"/>
      <c r="Z26" s="224"/>
      <c r="AA26" s="208"/>
      <c r="AB26" s="228"/>
      <c r="AC26" s="210"/>
      <c r="AD26" s="210"/>
      <c r="AE26" s="108">
        <f t="shared" si="6"/>
        <v>0</v>
      </c>
      <c r="AF26" s="208"/>
      <c r="AG26" s="226"/>
      <c r="AH26" s="202"/>
      <c r="AI26" s="203"/>
      <c r="AJ26" s="108">
        <f t="shared" si="7"/>
        <v>0</v>
      </c>
      <c r="AK26" s="301"/>
      <c r="AL26" s="124"/>
      <c r="AM26" s="124"/>
      <c r="AN26" s="16"/>
      <c r="AW26" s="2"/>
      <c r="AY26" s="2"/>
    </row>
    <row r="27" spans="1:54" ht="19.5" thickBot="1" x14ac:dyDescent="0.35">
      <c r="A27" s="166">
        <v>44736</v>
      </c>
      <c r="B27" s="190"/>
      <c r="C27" s="179"/>
      <c r="D27" s="179"/>
      <c r="E27" s="175"/>
      <c r="F27" s="170">
        <f t="shared" si="3"/>
        <v>0</v>
      </c>
      <c r="G27" s="171">
        <f t="shared" si="4"/>
        <v>0</v>
      </c>
      <c r="H27" s="179"/>
      <c r="I27" s="191"/>
      <c r="J27" s="175"/>
      <c r="K27" s="192">
        <f t="shared" si="0"/>
        <v>0</v>
      </c>
      <c r="L27" s="193">
        <f t="shared" si="1"/>
        <v>0</v>
      </c>
      <c r="M27" s="209"/>
      <c r="N27" s="194"/>
      <c r="O27" s="195">
        <f t="shared" si="5"/>
        <v>268.89999999999998</v>
      </c>
      <c r="P27" s="196"/>
      <c r="Q27" s="178"/>
      <c r="R27" s="179"/>
      <c r="S27" s="180"/>
      <c r="T27" s="222"/>
      <c r="U27" s="124"/>
      <c r="V27" s="124"/>
      <c r="W27" s="135"/>
      <c r="X27" s="182">
        <v>28</v>
      </c>
      <c r="Y27" s="200"/>
      <c r="Z27" s="201"/>
      <c r="AA27" s="182"/>
      <c r="AB27" s="182"/>
      <c r="AC27" s="210"/>
      <c r="AD27" s="210"/>
      <c r="AE27" s="108">
        <f t="shared" si="6"/>
        <v>0</v>
      </c>
      <c r="AF27" s="182"/>
      <c r="AG27" s="182"/>
      <c r="AH27" s="202"/>
      <c r="AI27" s="203"/>
      <c r="AJ27" s="108">
        <f t="shared" si="7"/>
        <v>0</v>
      </c>
      <c r="AK27" s="301"/>
      <c r="AL27" s="124"/>
      <c r="AM27" s="124"/>
      <c r="AN27" s="16"/>
      <c r="AR27" s="2"/>
      <c r="AS27" s="2"/>
      <c r="AT27" s="2"/>
      <c r="AU27" s="2"/>
      <c r="AV27" s="2"/>
      <c r="AW27" s="2"/>
      <c r="AY27" s="2"/>
      <c r="AZ27" s="2"/>
      <c r="BA27" s="2"/>
      <c r="BB27" s="2"/>
    </row>
    <row r="28" spans="1:54" ht="19.5" thickBot="1" x14ac:dyDescent="0.35">
      <c r="A28" s="166">
        <v>44737</v>
      </c>
      <c r="B28" s="190"/>
      <c r="C28" s="179"/>
      <c r="D28" s="179"/>
      <c r="E28" s="175"/>
      <c r="F28" s="170">
        <f t="shared" si="3"/>
        <v>0</v>
      </c>
      <c r="G28" s="171">
        <f t="shared" si="4"/>
        <v>0</v>
      </c>
      <c r="H28" s="179"/>
      <c r="I28" s="191"/>
      <c r="J28" s="175"/>
      <c r="K28" s="192">
        <f t="shared" si="0"/>
        <v>0</v>
      </c>
      <c r="L28" s="193">
        <f t="shared" si="1"/>
        <v>0</v>
      </c>
      <c r="M28" s="174"/>
      <c r="N28" s="194"/>
      <c r="O28" s="195">
        <f>SUM(L28-M28-N28+O27+P28)</f>
        <v>268.89999999999998</v>
      </c>
      <c r="P28" s="196"/>
      <c r="Q28" s="178"/>
      <c r="R28" s="179"/>
      <c r="S28" s="180"/>
      <c r="T28" s="222"/>
      <c r="U28" s="124"/>
      <c r="V28" s="124"/>
      <c r="W28" s="135"/>
      <c r="X28" s="182">
        <v>29</v>
      </c>
      <c r="Y28" s="200"/>
      <c r="Z28" s="201"/>
      <c r="AA28" s="182"/>
      <c r="AB28" s="182"/>
      <c r="AC28" s="210"/>
      <c r="AD28" s="210"/>
      <c r="AE28" s="108">
        <f t="shared" si="6"/>
        <v>0</v>
      </c>
      <c r="AF28" s="182"/>
      <c r="AG28" s="182"/>
      <c r="AH28" s="202"/>
      <c r="AI28" s="203"/>
      <c r="AJ28" s="108">
        <f t="shared" si="7"/>
        <v>0</v>
      </c>
      <c r="AK28" s="163"/>
      <c r="AL28" s="124"/>
      <c r="AM28" s="124"/>
      <c r="AN28" s="16"/>
      <c r="AR28" s="92"/>
      <c r="AS28" s="11"/>
      <c r="AT28" s="11"/>
      <c r="AU28" s="11"/>
      <c r="AV28" s="2"/>
      <c r="AW28" s="2"/>
      <c r="AY28" s="2"/>
      <c r="AZ28" s="2"/>
      <c r="BA28" s="12"/>
      <c r="BB28" s="2"/>
    </row>
    <row r="29" spans="1:54" ht="19.5" thickBot="1" x14ac:dyDescent="0.35">
      <c r="A29" s="166">
        <v>44738</v>
      </c>
      <c r="B29" s="190"/>
      <c r="C29" s="179"/>
      <c r="D29" s="179"/>
      <c r="E29" s="175"/>
      <c r="F29" s="170">
        <f t="shared" si="3"/>
        <v>0</v>
      </c>
      <c r="G29" s="171">
        <f t="shared" si="4"/>
        <v>0</v>
      </c>
      <c r="H29" s="179"/>
      <c r="I29" s="191"/>
      <c r="J29" s="175"/>
      <c r="K29" s="192">
        <f t="shared" si="0"/>
        <v>0</v>
      </c>
      <c r="L29" s="193">
        <f t="shared" si="1"/>
        <v>0</v>
      </c>
      <c r="M29" s="174"/>
      <c r="N29" s="194"/>
      <c r="O29" s="195">
        <f t="shared" si="5"/>
        <v>268.89999999999998</v>
      </c>
      <c r="P29" s="135"/>
      <c r="Q29" s="178"/>
      <c r="R29" s="179"/>
      <c r="S29" s="180"/>
      <c r="T29" s="222"/>
      <c r="U29" s="124"/>
      <c r="V29" s="124"/>
      <c r="W29" s="135"/>
      <c r="X29" s="182">
        <v>30</v>
      </c>
      <c r="Y29" s="200"/>
      <c r="Z29" s="201"/>
      <c r="AA29" s="182"/>
      <c r="AB29" s="182"/>
      <c r="AC29" s="108"/>
      <c r="AD29" s="108"/>
      <c r="AE29" s="108">
        <f t="shared" si="6"/>
        <v>0</v>
      </c>
      <c r="AF29" s="182"/>
      <c r="AG29" s="182"/>
      <c r="AH29" s="202"/>
      <c r="AI29" s="203"/>
      <c r="AJ29" s="108">
        <f t="shared" si="7"/>
        <v>0</v>
      </c>
      <c r="AK29" s="163"/>
      <c r="AL29" s="124"/>
      <c r="AM29" s="124"/>
      <c r="AN29" s="22"/>
      <c r="AR29" s="92"/>
      <c r="AS29" s="11"/>
      <c r="AT29" s="11"/>
      <c r="AU29" s="11"/>
      <c r="AV29" s="2"/>
      <c r="AW29" s="2"/>
      <c r="AY29" s="12"/>
      <c r="AZ29" s="2"/>
      <c r="BA29" s="12"/>
      <c r="BB29" s="2"/>
    </row>
    <row r="30" spans="1:54" ht="19.5" thickBot="1" x14ac:dyDescent="0.35">
      <c r="A30" s="166">
        <v>44739</v>
      </c>
      <c r="B30" s="229"/>
      <c r="C30" s="179"/>
      <c r="D30" s="179"/>
      <c r="E30" s="175"/>
      <c r="F30" s="170">
        <f t="shared" si="3"/>
        <v>0</v>
      </c>
      <c r="G30" s="171">
        <f t="shared" si="4"/>
        <v>0</v>
      </c>
      <c r="H30" s="179"/>
      <c r="I30" s="191"/>
      <c r="J30" s="175"/>
      <c r="K30" s="192">
        <f t="shared" si="0"/>
        <v>0</v>
      </c>
      <c r="L30" s="193">
        <f t="shared" si="1"/>
        <v>0</v>
      </c>
      <c r="M30" s="209"/>
      <c r="N30" s="194"/>
      <c r="O30" s="195">
        <f>SUM(L30-M30-N30+O29+P30)</f>
        <v>268.89999999999998</v>
      </c>
      <c r="P30" s="135"/>
      <c r="Q30" s="178"/>
      <c r="R30" s="179"/>
      <c r="S30" s="230"/>
      <c r="T30" s="222"/>
      <c r="U30" s="124"/>
      <c r="V30" s="124"/>
      <c r="W30" s="135"/>
      <c r="X30" s="24"/>
      <c r="Y30" s="160"/>
      <c r="Z30" s="161"/>
      <c r="AA30" s="24"/>
      <c r="AB30" s="24"/>
      <c r="AC30" s="231" t="s">
        <v>16</v>
      </c>
      <c r="AD30" s="231">
        <f>SUM(AD3:AD29)</f>
        <v>0</v>
      </c>
      <c r="AE30" s="163"/>
      <c r="AF30" s="232"/>
      <c r="AG30" s="24"/>
      <c r="AH30" s="233"/>
      <c r="AI30" s="165"/>
      <c r="AJ30" s="163"/>
      <c r="AK30" s="163"/>
      <c r="AL30" s="124"/>
      <c r="AM30" s="124"/>
      <c r="AN30" s="22"/>
      <c r="AR30" s="92"/>
      <c r="AS30" s="11"/>
      <c r="AT30" s="11"/>
      <c r="AU30" s="11"/>
      <c r="AV30" s="2"/>
      <c r="AW30" s="2"/>
      <c r="AY30" s="12"/>
      <c r="AZ30" s="2"/>
      <c r="BA30" s="12"/>
      <c r="BB30" s="2"/>
    </row>
    <row r="31" spans="1:54" ht="19.5" thickBot="1" x14ac:dyDescent="0.35">
      <c r="A31" s="166">
        <v>44740</v>
      </c>
      <c r="B31" s="234"/>
      <c r="C31" s="235"/>
      <c r="D31" s="236"/>
      <c r="E31" s="175"/>
      <c r="F31" s="170">
        <f t="shared" si="3"/>
        <v>0</v>
      </c>
      <c r="G31" s="171">
        <f t="shared" si="4"/>
        <v>0</v>
      </c>
      <c r="H31" s="179"/>
      <c r="I31" s="191"/>
      <c r="J31" s="237"/>
      <c r="K31" s="192">
        <f t="shared" si="0"/>
        <v>0</v>
      </c>
      <c r="L31" s="193">
        <f t="shared" si="1"/>
        <v>0</v>
      </c>
      <c r="M31" s="174"/>
      <c r="N31" s="194"/>
      <c r="O31" s="238">
        <f t="shared" si="5"/>
        <v>268.89999999999998</v>
      </c>
      <c r="P31" s="239" t="s">
        <v>9</v>
      </c>
      <c r="Q31" s="178"/>
      <c r="R31" s="179"/>
      <c r="S31" s="230"/>
      <c r="T31" s="222"/>
      <c r="U31" s="124"/>
      <c r="V31" s="124"/>
      <c r="W31" s="135"/>
      <c r="X31" s="24"/>
      <c r="Y31" s="160"/>
      <c r="Z31" s="161"/>
      <c r="AA31" s="24"/>
      <c r="AB31" s="24"/>
      <c r="AC31" s="163"/>
      <c r="AD31" s="163"/>
      <c r="AE31" s="163"/>
      <c r="AF31" s="24"/>
      <c r="AG31" s="24"/>
      <c r="AH31" s="233"/>
      <c r="AI31" s="165"/>
      <c r="AJ31" s="163"/>
      <c r="AK31" s="301"/>
      <c r="AL31" s="124"/>
      <c r="AM31" s="124"/>
      <c r="AN31" s="22"/>
      <c r="AR31" s="92"/>
      <c r="AS31" s="11"/>
      <c r="AT31" s="11"/>
      <c r="AU31" s="11"/>
      <c r="AV31" s="2"/>
      <c r="AW31" s="2"/>
      <c r="AY31" s="2"/>
      <c r="AZ31" s="2"/>
      <c r="BA31" s="12"/>
      <c r="BB31" s="2"/>
    </row>
    <row r="32" spans="1:54" ht="19.5" thickBot="1" x14ac:dyDescent="0.35">
      <c r="A32" s="166">
        <v>44741</v>
      </c>
      <c r="B32" s="190"/>
      <c r="C32" s="179"/>
      <c r="D32" s="179"/>
      <c r="E32" s="175"/>
      <c r="F32" s="170">
        <f t="shared" si="3"/>
        <v>0</v>
      </c>
      <c r="G32" s="171">
        <f t="shared" si="4"/>
        <v>0</v>
      </c>
      <c r="H32" s="179"/>
      <c r="I32" s="191"/>
      <c r="J32" s="175"/>
      <c r="K32" s="192">
        <f t="shared" si="0"/>
        <v>0</v>
      </c>
      <c r="L32" s="193">
        <f t="shared" si="1"/>
        <v>0</v>
      </c>
      <c r="M32" s="240"/>
      <c r="N32" s="194"/>
      <c r="O32" s="238">
        <f t="shared" si="5"/>
        <v>268.89999999999998</v>
      </c>
      <c r="P32" s="241" t="s">
        <v>10</v>
      </c>
      <c r="Q32" s="242"/>
      <c r="R32" s="179"/>
      <c r="S32" s="230"/>
      <c r="T32" s="222"/>
      <c r="U32" s="124"/>
      <c r="V32" s="124"/>
      <c r="W32" s="135"/>
      <c r="X32" s="24"/>
      <c r="Y32" s="160"/>
      <c r="Z32" s="161"/>
      <c r="AA32" s="182" t="s">
        <v>17</v>
      </c>
      <c r="AB32" s="24"/>
      <c r="AC32" s="244"/>
      <c r="AD32" s="244"/>
      <c r="AE32" s="163"/>
      <c r="AF32" s="24"/>
      <c r="AG32" s="24"/>
      <c r="AH32" s="233"/>
      <c r="AI32" s="165"/>
      <c r="AJ32" s="163"/>
      <c r="AK32" s="163"/>
      <c r="AL32" s="303" t="s">
        <v>31</v>
      </c>
      <c r="AM32" s="304"/>
      <c r="AN32" s="36"/>
      <c r="AR32" s="2"/>
      <c r="AS32" s="11"/>
      <c r="AT32" s="11"/>
      <c r="AU32" s="11"/>
      <c r="AV32" s="2"/>
      <c r="AW32" s="2"/>
      <c r="AY32" s="2"/>
      <c r="AZ32" s="2"/>
      <c r="BA32" s="2"/>
      <c r="BB32" s="2"/>
    </row>
    <row r="33" spans="1:54" ht="19.5" thickBot="1" x14ac:dyDescent="0.35">
      <c r="A33" s="166"/>
      <c r="B33" s="245"/>
      <c r="C33" s="246"/>
      <c r="D33" s="246"/>
      <c r="E33" s="247"/>
      <c r="F33" s="170">
        <f t="shared" si="3"/>
        <v>0</v>
      </c>
      <c r="G33" s="171">
        <f t="shared" si="4"/>
        <v>0</v>
      </c>
      <c r="H33" s="248"/>
      <c r="I33" s="248"/>
      <c r="J33" s="247"/>
      <c r="K33" s="249">
        <f t="shared" si="0"/>
        <v>0</v>
      </c>
      <c r="L33" s="250">
        <f t="shared" si="1"/>
        <v>0</v>
      </c>
      <c r="M33" s="251"/>
      <c r="N33" s="252"/>
      <c r="O33" s="253">
        <f t="shared" si="5"/>
        <v>268.89999999999998</v>
      </c>
      <c r="P33" s="254">
        <f>SUM(O33)</f>
        <v>268.89999999999998</v>
      </c>
      <c r="Q33" s="255"/>
      <c r="R33" s="246"/>
      <c r="S33" s="256"/>
      <c r="T33" s="257"/>
      <c r="U33" s="124"/>
      <c r="V33" s="124"/>
      <c r="W33" s="135"/>
      <c r="X33" s="182">
        <v>1</v>
      </c>
      <c r="Y33" s="200" t="s">
        <v>83</v>
      </c>
      <c r="Z33" s="201">
        <v>44726</v>
      </c>
      <c r="AA33" s="182" t="s">
        <v>84</v>
      </c>
      <c r="AB33" s="182"/>
      <c r="AC33" s="258">
        <v>40.92</v>
      </c>
      <c r="AD33" s="210">
        <v>2.46</v>
      </c>
      <c r="AE33" s="108">
        <f t="shared" ref="AE33:AE45" si="8">SUM(AC33:AD33)</f>
        <v>43.38</v>
      </c>
      <c r="AF33" s="182" t="s">
        <v>85</v>
      </c>
      <c r="AG33" s="182"/>
      <c r="AH33" s="202"/>
      <c r="AI33" s="203"/>
      <c r="AJ33" s="108">
        <v>0</v>
      </c>
      <c r="AK33" s="163"/>
      <c r="AL33" s="258">
        <f t="shared" ref="AL33:AL63" si="9">AC33</f>
        <v>40.92</v>
      </c>
      <c r="AM33" s="305">
        <v>1</v>
      </c>
      <c r="AN33" s="16"/>
      <c r="AR33" s="92"/>
      <c r="AS33" s="11"/>
      <c r="AT33" s="11"/>
      <c r="AU33" s="11"/>
      <c r="AV33" s="2"/>
      <c r="AW33" s="2"/>
      <c r="AY33" s="2"/>
      <c r="AZ33" s="2"/>
      <c r="BA33" s="2"/>
      <c r="BB33" s="2"/>
    </row>
    <row r="34" spans="1:54" ht="19.5" thickBot="1" x14ac:dyDescent="0.35">
      <c r="A34" s="124"/>
      <c r="B34" s="259">
        <f>SUM(B5:B33)</f>
        <v>0</v>
      </c>
      <c r="C34" s="260">
        <f t="shared" ref="C34:N34" si="10">SUM(C3:C33)</f>
        <v>878.04</v>
      </c>
      <c r="D34" s="261">
        <f t="shared" si="10"/>
        <v>0</v>
      </c>
      <c r="E34" s="261">
        <f t="shared" si="10"/>
        <v>36</v>
      </c>
      <c r="F34" s="262">
        <f t="shared" si="10"/>
        <v>914.04</v>
      </c>
      <c r="G34" s="263"/>
      <c r="H34" s="263">
        <f>SUM(H3:H33)</f>
        <v>895.14</v>
      </c>
      <c r="I34" s="263"/>
      <c r="J34" s="263">
        <f t="shared" si="10"/>
        <v>0</v>
      </c>
      <c r="K34" s="264">
        <f t="shared" si="10"/>
        <v>18.899999999999977</v>
      </c>
      <c r="L34" s="265">
        <f t="shared" si="10"/>
        <v>18.899999999999977</v>
      </c>
      <c r="M34" s="266">
        <f t="shared" si="10"/>
        <v>0</v>
      </c>
      <c r="N34" s="267">
        <f t="shared" si="10"/>
        <v>0</v>
      </c>
      <c r="O34" s="135"/>
      <c r="P34" s="135"/>
      <c r="Q34" s="124"/>
      <c r="R34" s="135"/>
      <c r="S34" s="124"/>
      <c r="T34" s="124"/>
      <c r="U34" s="124"/>
      <c r="V34" s="124"/>
      <c r="W34" s="135"/>
      <c r="X34" s="182">
        <v>2</v>
      </c>
      <c r="Y34" s="217" t="s">
        <v>86</v>
      </c>
      <c r="Z34" s="201">
        <v>44727</v>
      </c>
      <c r="AA34" s="182" t="s">
        <v>87</v>
      </c>
      <c r="AB34" s="182"/>
      <c r="AC34" s="258">
        <v>450.73</v>
      </c>
      <c r="AD34" s="210">
        <v>45.96</v>
      </c>
      <c r="AE34" s="108">
        <f t="shared" si="8"/>
        <v>496.69</v>
      </c>
      <c r="AF34" s="182"/>
      <c r="AG34" s="216"/>
      <c r="AH34" s="202"/>
      <c r="AI34" s="203"/>
      <c r="AJ34" s="108">
        <f>AE34</f>
        <v>496.69</v>
      </c>
      <c r="AK34" s="163"/>
      <c r="AL34" s="258">
        <f t="shared" si="9"/>
        <v>450.73</v>
      </c>
      <c r="AM34" s="221">
        <v>2</v>
      </c>
      <c r="AN34" s="16"/>
      <c r="AR34" s="2"/>
      <c r="AS34" s="11"/>
      <c r="AT34" s="11"/>
      <c r="AU34" s="11"/>
      <c r="AV34" s="2"/>
      <c r="AW34" s="2"/>
      <c r="AY34" s="2"/>
      <c r="AZ34" s="2"/>
      <c r="BA34" s="2"/>
      <c r="BB34" s="2"/>
    </row>
    <row r="35" spans="1:54" ht="19.5" thickBot="1" x14ac:dyDescent="0.35">
      <c r="A35" s="269" t="s">
        <v>15</v>
      </c>
      <c r="B35" s="270">
        <f>SUM(B3:B33)</f>
        <v>0</v>
      </c>
      <c r="C35" s="270">
        <f>SUM(C34/1.06)</f>
        <v>828.33962264150932</v>
      </c>
      <c r="D35" s="270">
        <f>SUM(D34/1.12)</f>
        <v>0</v>
      </c>
      <c r="E35" s="270">
        <f>SUM(E34/1.21)</f>
        <v>29.75206611570248</v>
      </c>
      <c r="F35" s="270">
        <f>SUM(B35:E35)</f>
        <v>858.09168875721184</v>
      </c>
      <c r="G35" s="271">
        <f>SUM(G34:G34)</f>
        <v>0</v>
      </c>
      <c r="H35" s="135"/>
      <c r="I35" s="135"/>
      <c r="J35" s="179"/>
      <c r="K35" s="272"/>
      <c r="L35" s="273" t="s">
        <v>82</v>
      </c>
      <c r="M35" s="274"/>
      <c r="N35" s="275">
        <f>SUM(M34:N34)</f>
        <v>0</v>
      </c>
      <c r="O35" s="135"/>
      <c r="P35" s="135"/>
      <c r="Q35" s="124"/>
      <c r="R35" s="135"/>
      <c r="S35" s="124"/>
      <c r="T35" s="124"/>
      <c r="U35" s="124"/>
      <c r="V35" s="124"/>
      <c r="W35" s="135"/>
      <c r="X35" s="182">
        <v>3</v>
      </c>
      <c r="Y35" s="200" t="s">
        <v>88</v>
      </c>
      <c r="Z35" s="201">
        <v>44726</v>
      </c>
      <c r="AA35" s="182">
        <v>222554</v>
      </c>
      <c r="AB35" s="182"/>
      <c r="AC35" s="258">
        <v>518.14</v>
      </c>
      <c r="AD35" s="210">
        <v>50.29</v>
      </c>
      <c r="AE35" s="108">
        <f t="shared" si="8"/>
        <v>568.42999999999995</v>
      </c>
      <c r="AF35" s="182"/>
      <c r="AG35" s="182"/>
      <c r="AH35" s="202"/>
      <c r="AI35" s="203"/>
      <c r="AJ35" s="108">
        <f>AE35</f>
        <v>568.42999999999995</v>
      </c>
      <c r="AK35" s="163"/>
      <c r="AL35" s="258">
        <f t="shared" si="9"/>
        <v>518.14</v>
      </c>
      <c r="AM35" s="221">
        <v>3</v>
      </c>
      <c r="AN35" s="16"/>
      <c r="AR35" s="2"/>
      <c r="AS35" s="11"/>
      <c r="AT35" s="11"/>
      <c r="AU35" s="11"/>
      <c r="AV35" s="12"/>
      <c r="AW35" s="2"/>
      <c r="AY35" s="2"/>
      <c r="AZ35" s="2"/>
      <c r="BA35" s="2"/>
      <c r="BB35" s="2"/>
    </row>
    <row r="36" spans="1:54" ht="18.75" x14ac:dyDescent="0.3">
      <c r="A36" s="269" t="s">
        <v>16</v>
      </c>
      <c r="B36" s="276"/>
      <c r="C36" s="270">
        <f>SUM(C34-C35)</f>
        <v>49.700377358490641</v>
      </c>
      <c r="D36" s="270">
        <f>SUM(D34-D35)</f>
        <v>0</v>
      </c>
      <c r="E36" s="270">
        <f>SUM(E34-E35)</f>
        <v>6.2479338842975203</v>
      </c>
      <c r="F36" s="270">
        <f>SUM(C36:E36)</f>
        <v>55.948311242788165</v>
      </c>
      <c r="G36" s="135"/>
      <c r="H36" s="135"/>
      <c r="I36" s="135"/>
      <c r="J36" s="135"/>
      <c r="K36" s="135"/>
      <c r="L36" s="135"/>
      <c r="M36" s="135"/>
      <c r="N36" s="135"/>
      <c r="O36" s="135"/>
      <c r="P36" s="135"/>
      <c r="Q36" s="124"/>
      <c r="R36" s="135"/>
      <c r="S36" s="124"/>
      <c r="T36" s="124"/>
      <c r="U36" s="124"/>
      <c r="V36" s="124"/>
      <c r="W36" s="135"/>
      <c r="X36" s="182">
        <v>4</v>
      </c>
      <c r="Y36" s="200" t="s">
        <v>83</v>
      </c>
      <c r="Z36" s="201">
        <v>44728</v>
      </c>
      <c r="AA36" s="182" t="s">
        <v>89</v>
      </c>
      <c r="AB36" s="182"/>
      <c r="AC36" s="277">
        <v>168</v>
      </c>
      <c r="AD36" s="108">
        <v>19.89</v>
      </c>
      <c r="AE36" s="108">
        <f t="shared" si="8"/>
        <v>187.89</v>
      </c>
      <c r="AF36" s="182" t="s">
        <v>85</v>
      </c>
      <c r="AG36" s="182"/>
      <c r="AH36" s="202"/>
      <c r="AI36" s="203"/>
      <c r="AJ36" s="108">
        <v>0</v>
      </c>
      <c r="AK36" s="306"/>
      <c r="AL36" s="258">
        <f t="shared" si="9"/>
        <v>168</v>
      </c>
      <c r="AM36" s="221">
        <v>4</v>
      </c>
      <c r="AN36" s="16"/>
      <c r="AR36" s="12"/>
      <c r="AS36" s="11"/>
      <c r="AT36" s="11"/>
      <c r="AU36" s="11"/>
      <c r="AV36" s="12"/>
      <c r="AW36" s="2"/>
      <c r="AY36" s="2"/>
      <c r="AZ36" s="2"/>
      <c r="BA36" s="2"/>
      <c r="BB36" s="2"/>
    </row>
    <row r="37" spans="1:54" ht="18.75" x14ac:dyDescent="0.3">
      <c r="A37" s="124"/>
      <c r="B37" s="124"/>
      <c r="C37" s="124"/>
      <c r="D37" s="124"/>
      <c r="E37" s="124"/>
      <c r="F37" s="124"/>
      <c r="G37" s="124"/>
      <c r="H37" s="124"/>
      <c r="I37" s="124"/>
      <c r="J37" s="124"/>
      <c r="K37" s="124"/>
      <c r="L37" s="124"/>
      <c r="M37" s="124"/>
      <c r="N37" s="124"/>
      <c r="O37" s="124"/>
      <c r="P37" s="124"/>
      <c r="Q37" s="159"/>
      <c r="R37" s="135"/>
      <c r="S37" s="124"/>
      <c r="T37" s="124"/>
      <c r="U37" s="124"/>
      <c r="V37" s="124"/>
      <c r="W37" s="135"/>
      <c r="X37" s="182">
        <v>5</v>
      </c>
      <c r="Y37" s="217"/>
      <c r="Z37" s="201"/>
      <c r="AA37" s="182"/>
      <c r="AB37" s="221"/>
      <c r="AC37" s="258"/>
      <c r="AD37" s="210"/>
      <c r="AE37" s="108">
        <f t="shared" si="8"/>
        <v>0</v>
      </c>
      <c r="AF37" s="182"/>
      <c r="AG37" s="216"/>
      <c r="AH37" s="202"/>
      <c r="AI37" s="203"/>
      <c r="AJ37" s="108">
        <f>AE37</f>
        <v>0</v>
      </c>
      <c r="AK37" s="301"/>
      <c r="AL37" s="258">
        <f t="shared" si="9"/>
        <v>0</v>
      </c>
      <c r="AM37" s="221">
        <v>5</v>
      </c>
      <c r="AN37" s="22"/>
      <c r="AR37" s="12"/>
      <c r="AS37" s="11"/>
      <c r="AT37" s="11"/>
      <c r="AU37" s="11"/>
      <c r="AV37" s="12"/>
      <c r="AW37" s="2"/>
    </row>
    <row r="38" spans="1:54" ht="18.75" x14ac:dyDescent="0.3">
      <c r="A38" s="124"/>
      <c r="B38" s="124"/>
      <c r="C38" s="124"/>
      <c r="D38" s="124"/>
      <c r="E38" s="124"/>
      <c r="F38" s="124"/>
      <c r="G38" s="124"/>
      <c r="H38" s="124"/>
      <c r="I38" s="124"/>
      <c r="J38" s="124"/>
      <c r="K38" s="124"/>
      <c r="L38" s="124"/>
      <c r="M38" s="124"/>
      <c r="N38" s="124"/>
      <c r="O38" s="124"/>
      <c r="P38" s="124"/>
      <c r="Q38" s="124"/>
      <c r="R38" s="135"/>
      <c r="S38" s="124"/>
      <c r="T38" s="124"/>
      <c r="U38" s="124"/>
      <c r="V38" s="124"/>
      <c r="W38" s="135"/>
      <c r="X38" s="182">
        <v>6</v>
      </c>
      <c r="Y38" s="200"/>
      <c r="Z38" s="201"/>
      <c r="AA38" s="182"/>
      <c r="AB38" s="182"/>
      <c r="AC38" s="277"/>
      <c r="AD38" s="108"/>
      <c r="AE38" s="108">
        <f t="shared" si="8"/>
        <v>0</v>
      </c>
      <c r="AF38" s="182"/>
      <c r="AG38" s="216"/>
      <c r="AH38" s="202"/>
      <c r="AI38" s="203"/>
      <c r="AJ38" s="108">
        <v>0</v>
      </c>
      <c r="AK38" s="301"/>
      <c r="AL38" s="258">
        <f t="shared" si="9"/>
        <v>0</v>
      </c>
      <c r="AM38" s="221">
        <v>6</v>
      </c>
      <c r="AN38" s="16"/>
      <c r="AR38" s="2"/>
      <c r="AS38" s="11"/>
      <c r="AT38" s="11"/>
      <c r="AU38" s="11"/>
      <c r="AV38" s="12"/>
      <c r="AW38" s="2"/>
      <c r="BA38" s="7"/>
    </row>
    <row r="39" spans="1:54" ht="18.75" x14ac:dyDescent="0.3">
      <c r="A39" s="124"/>
      <c r="B39" s="124"/>
      <c r="C39" s="124"/>
      <c r="D39" s="124"/>
      <c r="E39" s="124"/>
      <c r="F39" s="124"/>
      <c r="G39" s="124"/>
      <c r="H39" s="124"/>
      <c r="I39" s="124"/>
      <c r="J39" s="124"/>
      <c r="K39" s="124"/>
      <c r="L39" s="124"/>
      <c r="M39" s="124"/>
      <c r="N39" s="124"/>
      <c r="O39" s="124"/>
      <c r="P39" s="124"/>
      <c r="Q39" s="124"/>
      <c r="R39" s="135"/>
      <c r="S39" s="124"/>
      <c r="T39" s="124"/>
      <c r="U39" s="124"/>
      <c r="V39" s="124"/>
      <c r="W39" s="135"/>
      <c r="X39" s="182">
        <v>7</v>
      </c>
      <c r="Y39" s="200"/>
      <c r="Z39" s="201"/>
      <c r="AA39" s="182"/>
      <c r="AB39" s="182"/>
      <c r="AC39" s="277"/>
      <c r="AD39" s="108"/>
      <c r="AE39" s="108">
        <f t="shared" si="8"/>
        <v>0</v>
      </c>
      <c r="AF39" s="182"/>
      <c r="AG39" s="182"/>
      <c r="AH39" s="202"/>
      <c r="AI39" s="203"/>
      <c r="AJ39" s="108">
        <f t="shared" ref="AJ39:AJ62" si="11">AE39</f>
        <v>0</v>
      </c>
      <c r="AK39" s="301"/>
      <c r="AL39" s="258">
        <f t="shared" si="9"/>
        <v>0</v>
      </c>
      <c r="AM39" s="221">
        <v>7</v>
      </c>
      <c r="AN39" s="16"/>
      <c r="AR39" s="2"/>
      <c r="AS39" s="11"/>
      <c r="AT39" s="11"/>
      <c r="AU39" s="11"/>
      <c r="AV39" s="12"/>
      <c r="AW39" s="2"/>
      <c r="BA39" s="7"/>
    </row>
    <row r="40" spans="1:54" ht="18.75" x14ac:dyDescent="0.3">
      <c r="A40" s="124"/>
      <c r="B40" s="124"/>
      <c r="C40" s="124"/>
      <c r="D40" s="124"/>
      <c r="E40" s="124"/>
      <c r="F40" s="124"/>
      <c r="G40" s="124"/>
      <c r="H40" s="124"/>
      <c r="I40" s="124"/>
      <c r="J40" s="124"/>
      <c r="K40" s="124"/>
      <c r="L40" s="124"/>
      <c r="M40" s="124"/>
      <c r="N40" s="324"/>
      <c r="O40" s="324"/>
      <c r="P40" s="124"/>
      <c r="Q40" s="124"/>
      <c r="R40" s="135"/>
      <c r="S40" s="124"/>
      <c r="T40" s="124"/>
      <c r="U40" s="124"/>
      <c r="V40" s="124"/>
      <c r="W40" s="135"/>
      <c r="X40" s="182">
        <v>8</v>
      </c>
      <c r="Y40" s="200"/>
      <c r="Z40" s="201"/>
      <c r="AA40" s="182"/>
      <c r="AB40" s="182"/>
      <c r="AC40" s="258"/>
      <c r="AD40" s="210"/>
      <c r="AE40" s="108">
        <f t="shared" si="8"/>
        <v>0</v>
      </c>
      <c r="AF40" s="182"/>
      <c r="AG40" s="182"/>
      <c r="AH40" s="202"/>
      <c r="AI40" s="203"/>
      <c r="AJ40" s="108">
        <f t="shared" si="11"/>
        <v>0</v>
      </c>
      <c r="AK40" s="301"/>
      <c r="AL40" s="258">
        <f t="shared" si="9"/>
        <v>0</v>
      </c>
      <c r="AM40" s="221">
        <v>8</v>
      </c>
      <c r="AN40" s="16"/>
      <c r="AR40" s="2"/>
      <c r="AS40" s="11"/>
      <c r="AT40" s="11"/>
      <c r="AU40" s="11"/>
      <c r="AV40" s="12"/>
      <c r="AW40" s="2"/>
    </row>
    <row r="41" spans="1:54" ht="18.75" x14ac:dyDescent="0.3">
      <c r="A41" s="124"/>
      <c r="B41" s="124"/>
      <c r="C41" s="124"/>
      <c r="D41" s="124"/>
      <c r="E41" s="124"/>
      <c r="F41" s="124"/>
      <c r="G41" s="124"/>
      <c r="H41" s="124"/>
      <c r="I41" s="124"/>
      <c r="J41" s="124"/>
      <c r="K41" s="124"/>
      <c r="L41" s="124"/>
      <c r="M41" s="124"/>
      <c r="N41" s="324"/>
      <c r="O41" s="324"/>
      <c r="P41" s="124"/>
      <c r="Q41" s="124"/>
      <c r="R41" s="135"/>
      <c r="S41" s="124"/>
      <c r="T41" s="124"/>
      <c r="U41" s="124"/>
      <c r="V41" s="124"/>
      <c r="W41" s="135"/>
      <c r="X41" s="182">
        <v>9</v>
      </c>
      <c r="Y41" s="200"/>
      <c r="Z41" s="201"/>
      <c r="AA41" s="182"/>
      <c r="AB41" s="182"/>
      <c r="AC41" s="277"/>
      <c r="AD41" s="108"/>
      <c r="AE41" s="108">
        <f t="shared" si="8"/>
        <v>0</v>
      </c>
      <c r="AF41" s="182"/>
      <c r="AG41" s="182"/>
      <c r="AH41" s="202"/>
      <c r="AI41" s="203"/>
      <c r="AJ41" s="108">
        <f t="shared" si="11"/>
        <v>0</v>
      </c>
      <c r="AK41" s="301"/>
      <c r="AL41" s="258">
        <f t="shared" si="9"/>
        <v>0</v>
      </c>
      <c r="AM41" s="221">
        <v>9</v>
      </c>
      <c r="AN41" s="16"/>
      <c r="AR41" s="2"/>
      <c r="AS41" s="11"/>
      <c r="AT41" s="11"/>
      <c r="AU41" s="11"/>
      <c r="AV41" s="12"/>
      <c r="AW41" s="2"/>
    </row>
    <row r="42" spans="1:54" ht="18.75" x14ac:dyDescent="0.3">
      <c r="A42" s="124"/>
      <c r="B42" s="124"/>
      <c r="C42" s="124"/>
      <c r="D42" s="124"/>
      <c r="E42" s="124"/>
      <c r="F42" s="124"/>
      <c r="G42" s="124"/>
      <c r="H42" s="124"/>
      <c r="I42" s="124" t="s">
        <v>14</v>
      </c>
      <c r="J42" s="124"/>
      <c r="K42" s="124"/>
      <c r="L42" s="124"/>
      <c r="M42" s="124"/>
      <c r="N42" s="324"/>
      <c r="O42" s="324"/>
      <c r="P42" s="124"/>
      <c r="Q42" s="124"/>
      <c r="R42" s="135"/>
      <c r="S42" s="124"/>
      <c r="T42" s="124"/>
      <c r="U42" s="124"/>
      <c r="V42" s="124"/>
      <c r="W42" s="135"/>
      <c r="X42" s="182">
        <v>10</v>
      </c>
      <c r="Y42" s="200"/>
      <c r="Z42" s="201"/>
      <c r="AA42" s="182"/>
      <c r="AB42" s="182"/>
      <c r="AC42" s="258"/>
      <c r="AD42" s="210"/>
      <c r="AE42" s="108">
        <f t="shared" si="8"/>
        <v>0</v>
      </c>
      <c r="AF42" s="182"/>
      <c r="AG42" s="182"/>
      <c r="AH42" s="202"/>
      <c r="AI42" s="203"/>
      <c r="AJ42" s="108">
        <f t="shared" si="11"/>
        <v>0</v>
      </c>
      <c r="AK42" s="163"/>
      <c r="AL42" s="258">
        <f t="shared" si="9"/>
        <v>0</v>
      </c>
      <c r="AM42" s="221">
        <v>10</v>
      </c>
      <c r="AN42" s="16"/>
      <c r="AR42" s="2"/>
      <c r="AS42" s="11"/>
      <c r="AT42" s="11"/>
      <c r="AU42" s="11"/>
      <c r="AV42" s="2"/>
      <c r="AW42" s="2"/>
    </row>
    <row r="43" spans="1:54" ht="15.75" x14ac:dyDescent="0.25">
      <c r="A43" s="124"/>
      <c r="B43" s="124"/>
      <c r="C43" s="279"/>
      <c r="D43" s="279"/>
      <c r="E43" s="124"/>
      <c r="F43" s="124"/>
      <c r="G43" s="124"/>
      <c r="H43" s="124"/>
      <c r="I43" s="124"/>
      <c r="J43" s="124"/>
      <c r="K43" s="124"/>
      <c r="L43" s="124"/>
      <c r="M43" s="124"/>
      <c r="N43" s="324"/>
      <c r="O43" s="325"/>
      <c r="P43" s="124"/>
      <c r="Q43" s="124"/>
      <c r="R43" s="135"/>
      <c r="S43" s="124"/>
      <c r="T43" s="124"/>
      <c r="U43" s="124"/>
      <c r="V43" s="124"/>
      <c r="W43" s="135"/>
      <c r="X43" s="182">
        <v>11</v>
      </c>
      <c r="Y43" s="200"/>
      <c r="Z43" s="201"/>
      <c r="AA43" s="182"/>
      <c r="AB43" s="182"/>
      <c r="AC43" s="258"/>
      <c r="AD43" s="210"/>
      <c r="AE43" s="108">
        <f t="shared" si="8"/>
        <v>0</v>
      </c>
      <c r="AF43" s="182"/>
      <c r="AG43" s="182"/>
      <c r="AH43" s="202"/>
      <c r="AI43" s="203"/>
      <c r="AJ43" s="108">
        <f t="shared" si="11"/>
        <v>0</v>
      </c>
      <c r="AK43" s="23"/>
      <c r="AL43" s="258">
        <f t="shared" si="9"/>
        <v>0</v>
      </c>
      <c r="AM43" s="221">
        <v>11</v>
      </c>
      <c r="AN43" s="38"/>
      <c r="AR43" s="2"/>
      <c r="AS43" s="11"/>
      <c r="AT43" s="11"/>
      <c r="AU43" s="11"/>
      <c r="AV43" s="2"/>
    </row>
    <row r="44" spans="1:54" ht="15.75" x14ac:dyDescent="0.25">
      <c r="A44" s="124"/>
      <c r="B44" s="124"/>
      <c r="C44" s="124"/>
      <c r="D44" s="124"/>
      <c r="E44" s="124"/>
      <c r="F44" s="124"/>
      <c r="G44" s="124"/>
      <c r="H44" s="124"/>
      <c r="I44" s="124"/>
      <c r="J44" s="135"/>
      <c r="K44" s="124"/>
      <c r="L44" s="124"/>
      <c r="M44" s="124"/>
      <c r="N44" s="324"/>
      <c r="O44" s="324"/>
      <c r="P44" s="124"/>
      <c r="Q44" s="124"/>
      <c r="R44" s="135"/>
      <c r="S44" s="124"/>
      <c r="T44" s="124"/>
      <c r="U44" s="124"/>
      <c r="V44" s="124"/>
      <c r="W44" s="135"/>
      <c r="X44" s="182">
        <v>12</v>
      </c>
      <c r="Y44" s="200"/>
      <c r="Z44" s="201"/>
      <c r="AA44" s="221"/>
      <c r="AB44" s="182"/>
      <c r="AC44" s="258"/>
      <c r="AD44" s="210"/>
      <c r="AE44" s="108">
        <f t="shared" si="8"/>
        <v>0</v>
      </c>
      <c r="AF44" s="182"/>
      <c r="AG44" s="182"/>
      <c r="AH44" s="202"/>
      <c r="AI44" s="203"/>
      <c r="AJ44" s="108">
        <f t="shared" si="11"/>
        <v>0</v>
      </c>
      <c r="AK44" s="25"/>
      <c r="AL44" s="258">
        <f t="shared" si="9"/>
        <v>0</v>
      </c>
      <c r="AM44" s="221">
        <v>12</v>
      </c>
      <c r="AN44" s="28"/>
      <c r="AR44" s="2"/>
      <c r="AS44" s="11"/>
      <c r="AT44" s="11"/>
      <c r="AU44" s="11"/>
      <c r="AV44" s="2"/>
    </row>
    <row r="45" spans="1:54" ht="15.75" x14ac:dyDescent="0.25">
      <c r="A45" s="135"/>
      <c r="B45" s="135"/>
      <c r="C45" s="135"/>
      <c r="D45" s="135"/>
      <c r="E45" s="135"/>
      <c r="F45" s="135"/>
      <c r="G45" s="135"/>
      <c r="H45" s="135"/>
      <c r="I45" s="135"/>
      <c r="J45" s="135"/>
      <c r="K45" s="135"/>
      <c r="L45" s="135"/>
      <c r="M45" s="135"/>
      <c r="N45" s="326"/>
      <c r="O45" s="327"/>
      <c r="P45" s="135"/>
      <c r="Q45" s="124"/>
      <c r="R45" s="135"/>
      <c r="S45" s="124"/>
      <c r="T45" s="124"/>
      <c r="U45" s="124"/>
      <c r="V45" s="124"/>
      <c r="W45" s="135"/>
      <c r="X45" s="182">
        <v>13</v>
      </c>
      <c r="Y45" s="200"/>
      <c r="Z45" s="201"/>
      <c r="AA45" s="182"/>
      <c r="AB45" s="182"/>
      <c r="AC45" s="258"/>
      <c r="AD45" s="210"/>
      <c r="AE45" s="108">
        <f t="shared" si="8"/>
        <v>0</v>
      </c>
      <c r="AF45" s="182"/>
      <c r="AG45" s="208"/>
      <c r="AH45" s="202"/>
      <c r="AI45" s="203"/>
      <c r="AJ45" s="108">
        <f t="shared" si="11"/>
        <v>0</v>
      </c>
      <c r="AK45" s="25"/>
      <c r="AL45" s="258">
        <f t="shared" si="9"/>
        <v>0</v>
      </c>
      <c r="AM45" s="221">
        <v>13</v>
      </c>
      <c r="AN45" s="32"/>
      <c r="AR45" s="2"/>
      <c r="AS45" s="11"/>
      <c r="AT45" s="11"/>
      <c r="AU45" s="11"/>
      <c r="AV45" s="2"/>
    </row>
    <row r="46" spans="1:54" ht="18.75" x14ac:dyDescent="0.3">
      <c r="A46" s="135"/>
      <c r="B46" s="135"/>
      <c r="C46" s="135"/>
      <c r="D46" s="135"/>
      <c r="E46" s="135"/>
      <c r="F46" s="135"/>
      <c r="G46" s="135"/>
      <c r="H46" s="135"/>
      <c r="I46" s="135"/>
      <c r="J46" s="124"/>
      <c r="K46" s="135"/>
      <c r="L46" s="135"/>
      <c r="M46" s="135"/>
      <c r="N46" s="135"/>
      <c r="O46" s="135"/>
      <c r="P46" s="135" t="s">
        <v>14</v>
      </c>
      <c r="Q46" s="124"/>
      <c r="R46" s="135"/>
      <c r="S46" s="124"/>
      <c r="T46" s="124"/>
      <c r="U46" s="124"/>
      <c r="V46" s="124"/>
      <c r="W46" s="135"/>
      <c r="X46" s="182">
        <v>14</v>
      </c>
      <c r="Y46" s="200"/>
      <c r="Z46" s="201"/>
      <c r="AA46" s="182"/>
      <c r="AB46" s="182"/>
      <c r="AC46" s="258"/>
      <c r="AD46" s="210"/>
      <c r="AE46" s="108">
        <f t="shared" ref="AE46:AE62" si="12">SUM(AC46:AD46)</f>
        <v>0</v>
      </c>
      <c r="AF46" s="182"/>
      <c r="AG46" s="226"/>
      <c r="AH46" s="202"/>
      <c r="AI46" s="203"/>
      <c r="AJ46" s="108">
        <f t="shared" si="11"/>
        <v>0</v>
      </c>
      <c r="AK46" s="163"/>
      <c r="AL46" s="258">
        <f t="shared" si="9"/>
        <v>0</v>
      </c>
      <c r="AM46" s="221">
        <v>14</v>
      </c>
      <c r="AN46" s="34"/>
      <c r="AR46" s="2"/>
      <c r="AS46" s="11"/>
      <c r="AT46" s="11"/>
      <c r="AU46" s="11"/>
      <c r="AV46" s="2"/>
    </row>
    <row r="47" spans="1:54" ht="15.75" x14ac:dyDescent="0.25">
      <c r="A47" s="280"/>
      <c r="B47" s="135"/>
      <c r="C47" s="135"/>
      <c r="D47" s="135"/>
      <c r="E47" s="135"/>
      <c r="F47" s="281"/>
      <c r="G47" s="135"/>
      <c r="H47" s="135"/>
      <c r="I47" s="135"/>
      <c r="J47" s="135"/>
      <c r="K47" s="135"/>
      <c r="L47" s="135"/>
      <c r="M47" s="135"/>
      <c r="N47" s="135"/>
      <c r="O47" s="135"/>
      <c r="P47" s="135"/>
      <c r="Q47" s="124"/>
      <c r="R47" s="135"/>
      <c r="S47" s="124"/>
      <c r="T47" s="124"/>
      <c r="U47" s="124"/>
      <c r="V47" s="124"/>
      <c r="W47" s="135"/>
      <c r="X47" s="182">
        <v>15</v>
      </c>
      <c r="Y47" s="200"/>
      <c r="Z47" s="201"/>
      <c r="AA47" s="182"/>
      <c r="AB47" s="228"/>
      <c r="AC47" s="258"/>
      <c r="AD47" s="210"/>
      <c r="AE47" s="108">
        <f t="shared" si="12"/>
        <v>0</v>
      </c>
      <c r="AF47" s="182"/>
      <c r="AG47" s="182"/>
      <c r="AH47" s="202"/>
      <c r="AI47" s="203"/>
      <c r="AJ47" s="108">
        <f t="shared" si="11"/>
        <v>0</v>
      </c>
      <c r="AK47" s="23"/>
      <c r="AL47" s="258">
        <f t="shared" si="9"/>
        <v>0</v>
      </c>
      <c r="AM47" s="221">
        <v>15</v>
      </c>
      <c r="AN47" s="24"/>
      <c r="BA47" s="7"/>
    </row>
    <row r="48" spans="1:54" ht="15.75" x14ac:dyDescent="0.25">
      <c r="A48" s="280"/>
      <c r="B48" s="135"/>
      <c r="C48" s="135"/>
      <c r="D48" s="135"/>
      <c r="E48" s="135"/>
      <c r="F48" s="135"/>
      <c r="G48" s="135"/>
      <c r="H48" s="135"/>
      <c r="I48" s="135"/>
      <c r="J48" s="135"/>
      <c r="K48" s="135"/>
      <c r="L48" s="135"/>
      <c r="M48" s="135"/>
      <c r="N48" s="135"/>
      <c r="O48" s="135"/>
      <c r="P48" s="135"/>
      <c r="Q48" s="124"/>
      <c r="R48" s="135"/>
      <c r="S48" s="124"/>
      <c r="T48" s="124"/>
      <c r="U48" s="124"/>
      <c r="V48" s="124"/>
      <c r="W48" s="135"/>
      <c r="X48" s="182">
        <v>16</v>
      </c>
      <c r="Y48" s="200"/>
      <c r="Z48" s="201"/>
      <c r="AA48" s="182"/>
      <c r="AB48" s="182"/>
      <c r="AC48" s="258"/>
      <c r="AD48" s="210"/>
      <c r="AE48" s="108">
        <f t="shared" si="12"/>
        <v>0</v>
      </c>
      <c r="AF48" s="182"/>
      <c r="AG48" s="182"/>
      <c r="AH48" s="202"/>
      <c r="AI48" s="203"/>
      <c r="AJ48" s="108">
        <f t="shared" si="11"/>
        <v>0</v>
      </c>
      <c r="AK48" s="23"/>
      <c r="AL48" s="258">
        <f t="shared" si="9"/>
        <v>0</v>
      </c>
      <c r="AM48" s="221">
        <v>16</v>
      </c>
      <c r="AN48" s="24"/>
      <c r="AY48" s="7"/>
      <c r="BA48" s="7"/>
    </row>
    <row r="49" spans="1:54" ht="18.75" x14ac:dyDescent="0.3">
      <c r="A49" s="280"/>
      <c r="B49" s="135"/>
      <c r="C49" s="135"/>
      <c r="D49" s="135"/>
      <c r="E49" s="135"/>
      <c r="F49" s="281"/>
      <c r="G49" s="135"/>
      <c r="H49" s="135"/>
      <c r="I49" s="135"/>
      <c r="J49" s="135"/>
      <c r="K49" s="135"/>
      <c r="L49" s="135"/>
      <c r="M49" s="135"/>
      <c r="N49" s="135"/>
      <c r="O49" s="135"/>
      <c r="P49" s="135"/>
      <c r="Q49" s="124"/>
      <c r="R49" s="135"/>
      <c r="S49" s="124"/>
      <c r="T49" s="124"/>
      <c r="U49" s="124"/>
      <c r="V49" s="124"/>
      <c r="W49" s="135"/>
      <c r="X49" s="182">
        <v>17</v>
      </c>
      <c r="Y49" s="223"/>
      <c r="Z49" s="224"/>
      <c r="AA49" s="208"/>
      <c r="AB49" s="208"/>
      <c r="AC49" s="277"/>
      <c r="AD49" s="108"/>
      <c r="AE49" s="108">
        <f t="shared" si="12"/>
        <v>0</v>
      </c>
      <c r="AF49" s="208"/>
      <c r="AG49" s="208"/>
      <c r="AH49" s="202"/>
      <c r="AI49" s="203"/>
      <c r="AJ49" s="108">
        <f t="shared" si="11"/>
        <v>0</v>
      </c>
      <c r="AK49" s="163"/>
      <c r="AL49" s="258">
        <f t="shared" si="9"/>
        <v>0</v>
      </c>
      <c r="AM49" s="221">
        <v>17</v>
      </c>
      <c r="AN49" s="22"/>
      <c r="AY49" s="7"/>
      <c r="BA49" s="7"/>
    </row>
    <row r="50" spans="1:54" ht="18.75" x14ac:dyDescent="0.3">
      <c r="A50" s="280"/>
      <c r="B50" s="135"/>
      <c r="C50" s="135"/>
      <c r="D50" s="135"/>
      <c r="E50" s="135"/>
      <c r="F50" s="281"/>
      <c r="G50" s="135"/>
      <c r="H50" s="135"/>
      <c r="I50" s="135"/>
      <c r="J50" s="135"/>
      <c r="K50" s="135"/>
      <c r="L50" s="135"/>
      <c r="M50" s="135"/>
      <c r="N50" s="135"/>
      <c r="O50" s="135"/>
      <c r="P50" s="135"/>
      <c r="Q50" s="124"/>
      <c r="R50" s="135"/>
      <c r="S50" s="124"/>
      <c r="T50" s="124"/>
      <c r="U50" s="124"/>
      <c r="V50" s="124"/>
      <c r="W50" s="135"/>
      <c r="X50" s="182">
        <v>18</v>
      </c>
      <c r="Y50" s="200"/>
      <c r="Z50" s="201"/>
      <c r="AA50" s="182"/>
      <c r="AB50" s="182"/>
      <c r="AC50" s="277"/>
      <c r="AD50" s="108"/>
      <c r="AE50" s="108">
        <f t="shared" si="12"/>
        <v>0</v>
      </c>
      <c r="AF50" s="182"/>
      <c r="AG50" s="216"/>
      <c r="AH50" s="202"/>
      <c r="AI50" s="203"/>
      <c r="AJ50" s="108">
        <f t="shared" si="11"/>
        <v>0</v>
      </c>
      <c r="AK50" s="163"/>
      <c r="AL50" s="258">
        <f t="shared" si="9"/>
        <v>0</v>
      </c>
      <c r="AM50" s="221">
        <v>18</v>
      </c>
      <c r="AN50" s="22"/>
      <c r="AY50" s="2"/>
    </row>
    <row r="51" spans="1:54" ht="18.75" x14ac:dyDescent="0.3">
      <c r="A51" s="280"/>
      <c r="B51" s="135"/>
      <c r="C51" s="135"/>
      <c r="D51" s="135"/>
      <c r="E51" s="135"/>
      <c r="F51" s="281"/>
      <c r="G51" s="135"/>
      <c r="H51" s="135"/>
      <c r="I51" s="135"/>
      <c r="J51" s="135"/>
      <c r="K51" s="135"/>
      <c r="L51" s="135"/>
      <c r="M51" s="135"/>
      <c r="N51" s="135"/>
      <c r="O51" s="135"/>
      <c r="P51" s="135"/>
      <c r="Q51" s="124"/>
      <c r="R51" s="135"/>
      <c r="S51" s="124"/>
      <c r="T51" s="124"/>
      <c r="U51" s="124"/>
      <c r="V51" s="124"/>
      <c r="W51" s="135"/>
      <c r="X51" s="182">
        <v>19</v>
      </c>
      <c r="Y51" s="200"/>
      <c r="Z51" s="201"/>
      <c r="AA51" s="182"/>
      <c r="AB51" s="221"/>
      <c r="AC51" s="277"/>
      <c r="AD51" s="108"/>
      <c r="AE51" s="108">
        <f t="shared" si="12"/>
        <v>0</v>
      </c>
      <c r="AF51" s="182"/>
      <c r="AG51" s="182"/>
      <c r="AH51" s="202"/>
      <c r="AI51" s="203"/>
      <c r="AJ51" s="108">
        <f t="shared" si="11"/>
        <v>0</v>
      </c>
      <c r="AK51" s="163"/>
      <c r="AL51" s="258">
        <f t="shared" si="9"/>
        <v>0</v>
      </c>
      <c r="AM51" s="221">
        <v>19</v>
      </c>
      <c r="AN51" s="22"/>
      <c r="AR51" s="2"/>
      <c r="AS51" s="2"/>
      <c r="AT51" s="2"/>
      <c r="AU51" s="2"/>
      <c r="AV51" s="2"/>
      <c r="AY51" s="2"/>
      <c r="AZ51" s="2"/>
      <c r="BA51" s="2"/>
      <c r="BB51" s="2"/>
    </row>
    <row r="52" spans="1:54" ht="18.75" x14ac:dyDescent="0.3">
      <c r="A52" s="280"/>
      <c r="B52" s="135"/>
      <c r="C52" s="135"/>
      <c r="D52" s="135"/>
      <c r="E52" s="135"/>
      <c r="F52" s="135"/>
      <c r="G52" s="135"/>
      <c r="H52" s="135"/>
      <c r="I52" s="135"/>
      <c r="J52" s="135"/>
      <c r="K52" s="135"/>
      <c r="L52" s="135"/>
      <c r="M52" s="135"/>
      <c r="N52" s="135"/>
      <c r="O52" s="135"/>
      <c r="P52" s="135"/>
      <c r="Q52" s="124"/>
      <c r="R52" s="135"/>
      <c r="S52" s="124"/>
      <c r="T52" s="124"/>
      <c r="U52" s="124"/>
      <c r="V52" s="124"/>
      <c r="W52" s="135"/>
      <c r="X52" s="182">
        <v>20</v>
      </c>
      <c r="Y52" s="200"/>
      <c r="Z52" s="201"/>
      <c r="AA52" s="182"/>
      <c r="AB52" s="182"/>
      <c r="AC52" s="277"/>
      <c r="AD52" s="108"/>
      <c r="AE52" s="108">
        <f t="shared" si="12"/>
        <v>0</v>
      </c>
      <c r="AF52" s="182"/>
      <c r="AG52" s="182"/>
      <c r="AH52" s="202"/>
      <c r="AI52" s="203"/>
      <c r="AJ52" s="108">
        <f t="shared" si="11"/>
        <v>0</v>
      </c>
      <c r="AK52" s="163"/>
      <c r="AL52" s="258">
        <f t="shared" si="9"/>
        <v>0</v>
      </c>
      <c r="AM52" s="221">
        <v>20</v>
      </c>
      <c r="AN52" s="22"/>
      <c r="AR52" s="92"/>
      <c r="AS52" s="11"/>
      <c r="AT52" s="11"/>
      <c r="AU52" s="2"/>
      <c r="AV52" s="2"/>
      <c r="AY52" s="2"/>
      <c r="AZ52" s="2"/>
      <c r="BA52" s="12"/>
      <c r="BB52" s="2"/>
    </row>
    <row r="53" spans="1:54" ht="18.75" x14ac:dyDescent="0.3">
      <c r="A53" s="280"/>
      <c r="B53" s="135"/>
      <c r="C53" s="135"/>
      <c r="D53" s="135"/>
      <c r="E53" s="135"/>
      <c r="F53" s="135"/>
      <c r="G53" s="135"/>
      <c r="H53" s="135"/>
      <c r="I53" s="135"/>
      <c r="J53" s="135"/>
      <c r="K53" s="135"/>
      <c r="L53" s="135"/>
      <c r="M53" s="135"/>
      <c r="N53" s="135"/>
      <c r="O53" s="135"/>
      <c r="P53" s="135"/>
      <c r="Q53" s="124"/>
      <c r="R53" s="135"/>
      <c r="S53" s="124"/>
      <c r="T53" s="124"/>
      <c r="U53" s="124"/>
      <c r="V53" s="124"/>
      <c r="W53" s="135"/>
      <c r="X53" s="182">
        <v>21</v>
      </c>
      <c r="Y53" s="200"/>
      <c r="Z53" s="201"/>
      <c r="AA53" s="182"/>
      <c r="AB53" s="225"/>
      <c r="AC53" s="277"/>
      <c r="AD53" s="108"/>
      <c r="AE53" s="108">
        <f t="shared" si="12"/>
        <v>0</v>
      </c>
      <c r="AF53" s="182"/>
      <c r="AG53" s="182"/>
      <c r="AH53" s="202"/>
      <c r="AI53" s="203"/>
      <c r="AJ53" s="108">
        <f t="shared" si="11"/>
        <v>0</v>
      </c>
      <c r="AK53" s="163"/>
      <c r="AL53" s="258">
        <f t="shared" si="9"/>
        <v>0</v>
      </c>
      <c r="AM53" s="221">
        <v>21</v>
      </c>
      <c r="AN53" s="16"/>
      <c r="AR53" s="92"/>
      <c r="AS53" s="11"/>
      <c r="AT53" s="11"/>
      <c r="AU53" s="2"/>
      <c r="AV53" s="2"/>
      <c r="AY53" s="12"/>
      <c r="AZ53" s="2"/>
      <c r="BA53" s="12"/>
      <c r="BB53" s="2"/>
    </row>
    <row r="54" spans="1:54" ht="18.75" x14ac:dyDescent="0.3">
      <c r="A54" s="280"/>
      <c r="B54" s="135"/>
      <c r="C54" s="135"/>
      <c r="D54" s="135"/>
      <c r="E54" s="135"/>
      <c r="F54" s="135"/>
      <c r="G54" s="135"/>
      <c r="H54" s="135"/>
      <c r="I54" s="135"/>
      <c r="J54" s="135"/>
      <c r="K54" s="135"/>
      <c r="L54" s="135"/>
      <c r="M54" s="135"/>
      <c r="N54" s="135"/>
      <c r="O54" s="135"/>
      <c r="P54" s="135"/>
      <c r="Q54" s="124"/>
      <c r="R54" s="135"/>
      <c r="S54" s="124"/>
      <c r="T54" s="124"/>
      <c r="U54" s="124"/>
      <c r="V54" s="124"/>
      <c r="W54" s="135"/>
      <c r="X54" s="182">
        <v>22</v>
      </c>
      <c r="Y54" s="200"/>
      <c r="Z54" s="201"/>
      <c r="AA54" s="182"/>
      <c r="AB54" s="182"/>
      <c r="AC54" s="277"/>
      <c r="AD54" s="108"/>
      <c r="AE54" s="108">
        <f t="shared" si="12"/>
        <v>0</v>
      </c>
      <c r="AF54" s="182"/>
      <c r="AG54" s="182"/>
      <c r="AH54" s="202"/>
      <c r="AI54" s="203"/>
      <c r="AJ54" s="108">
        <f t="shared" si="11"/>
        <v>0</v>
      </c>
      <c r="AK54" s="163"/>
      <c r="AL54" s="258">
        <f t="shared" si="9"/>
        <v>0</v>
      </c>
      <c r="AM54" s="221">
        <v>22</v>
      </c>
      <c r="AN54" s="22"/>
      <c r="AR54" s="92"/>
      <c r="AS54" s="11"/>
      <c r="AT54" s="11"/>
      <c r="AU54" s="2"/>
      <c r="AV54" s="2"/>
      <c r="AY54" s="12"/>
      <c r="AZ54" s="2"/>
      <c r="BA54" s="12"/>
      <c r="BB54" s="2"/>
    </row>
    <row r="55" spans="1:54" ht="18.75" x14ac:dyDescent="0.3">
      <c r="A55" s="280"/>
      <c r="B55" s="135"/>
      <c r="C55" s="135"/>
      <c r="D55" s="135"/>
      <c r="E55" s="135"/>
      <c r="F55" s="135"/>
      <c r="G55" s="135"/>
      <c r="H55" s="135"/>
      <c r="I55" s="135"/>
      <c r="J55" s="135"/>
      <c r="K55" s="135"/>
      <c r="L55" s="135"/>
      <c r="M55" s="135"/>
      <c r="N55" s="135"/>
      <c r="O55" s="135"/>
      <c r="P55" s="135"/>
      <c r="Q55" s="124"/>
      <c r="R55" s="135"/>
      <c r="S55" s="124"/>
      <c r="T55" s="124"/>
      <c r="U55" s="124"/>
      <c r="V55" s="124"/>
      <c r="W55" s="135"/>
      <c r="X55" s="182">
        <v>23</v>
      </c>
      <c r="Y55" s="217"/>
      <c r="Z55" s="201"/>
      <c r="AA55" s="182"/>
      <c r="AB55" s="221"/>
      <c r="AC55" s="277"/>
      <c r="AD55" s="108"/>
      <c r="AE55" s="108">
        <f t="shared" si="12"/>
        <v>0</v>
      </c>
      <c r="AF55" s="182"/>
      <c r="AG55" s="216"/>
      <c r="AH55" s="202"/>
      <c r="AI55" s="203"/>
      <c r="AJ55" s="108">
        <f t="shared" si="11"/>
        <v>0</v>
      </c>
      <c r="AK55" s="163"/>
      <c r="AL55" s="258">
        <f t="shared" si="9"/>
        <v>0</v>
      </c>
      <c r="AM55" s="221">
        <v>23</v>
      </c>
      <c r="AN55" s="22"/>
      <c r="AR55" s="92"/>
      <c r="AS55" s="2"/>
      <c r="AT55" s="2"/>
      <c r="AU55" s="2"/>
      <c r="AV55" s="2"/>
      <c r="AY55" s="2"/>
      <c r="AZ55" s="2"/>
      <c r="BA55" s="12"/>
      <c r="BB55" s="2"/>
    </row>
    <row r="56" spans="1:54" ht="18.75" x14ac:dyDescent="0.3">
      <c r="A56" s="280"/>
      <c r="B56" s="135"/>
      <c r="C56" s="135"/>
      <c r="D56" s="135"/>
      <c r="E56" s="135"/>
      <c r="F56" s="135"/>
      <c r="G56" s="135"/>
      <c r="H56" s="135"/>
      <c r="I56" s="135"/>
      <c r="J56" s="135"/>
      <c r="K56" s="135"/>
      <c r="L56" s="135"/>
      <c r="M56" s="135"/>
      <c r="N56" s="135"/>
      <c r="O56" s="135"/>
      <c r="P56" s="135"/>
      <c r="Q56" s="124"/>
      <c r="R56" s="135"/>
      <c r="S56" s="124"/>
      <c r="T56" s="124"/>
      <c r="U56" s="124"/>
      <c r="V56" s="124"/>
      <c r="W56" s="135"/>
      <c r="X56" s="182">
        <v>24</v>
      </c>
      <c r="Y56" s="200"/>
      <c r="Z56" s="201"/>
      <c r="AA56" s="182"/>
      <c r="AB56" s="182"/>
      <c r="AC56" s="277"/>
      <c r="AD56" s="108"/>
      <c r="AE56" s="108">
        <f t="shared" si="12"/>
        <v>0</v>
      </c>
      <c r="AF56" s="182"/>
      <c r="AG56" s="182"/>
      <c r="AH56" s="202"/>
      <c r="AI56" s="203"/>
      <c r="AJ56" s="108">
        <f t="shared" si="11"/>
        <v>0</v>
      </c>
      <c r="AK56" s="301"/>
      <c r="AL56" s="258">
        <f t="shared" si="9"/>
        <v>0</v>
      </c>
      <c r="AM56" s="221">
        <v>24</v>
      </c>
      <c r="AN56" s="22"/>
      <c r="AR56" s="2"/>
      <c r="AS56" s="2"/>
      <c r="AT56" s="2"/>
      <c r="AU56" s="2"/>
      <c r="AV56" s="2"/>
      <c r="AY56" s="2"/>
      <c r="AZ56" s="2"/>
      <c r="BA56" s="2"/>
      <c r="BB56" s="2"/>
    </row>
    <row r="57" spans="1:54" ht="18.75" x14ac:dyDescent="0.3">
      <c r="A57" s="280"/>
      <c r="B57" s="135"/>
      <c r="C57" s="135"/>
      <c r="D57" s="135"/>
      <c r="E57" s="135"/>
      <c r="F57" s="135"/>
      <c r="G57" s="135"/>
      <c r="H57" s="135"/>
      <c r="I57" s="135"/>
      <c r="J57" s="135"/>
      <c r="K57" s="135"/>
      <c r="L57" s="135"/>
      <c r="M57" s="135"/>
      <c r="N57" s="135"/>
      <c r="O57" s="135"/>
      <c r="P57" s="135"/>
      <c r="Q57" s="124"/>
      <c r="R57" s="135"/>
      <c r="S57" s="124"/>
      <c r="T57" s="124"/>
      <c r="U57" s="124"/>
      <c r="V57" s="124"/>
      <c r="W57" s="135"/>
      <c r="X57" s="182">
        <v>25</v>
      </c>
      <c r="Y57" s="200"/>
      <c r="Z57" s="201"/>
      <c r="AA57" s="182"/>
      <c r="AB57" s="182"/>
      <c r="AC57" s="277"/>
      <c r="AD57" s="108"/>
      <c r="AE57" s="108">
        <f t="shared" si="12"/>
        <v>0</v>
      </c>
      <c r="AF57" s="182"/>
      <c r="AG57" s="182"/>
      <c r="AH57" s="202"/>
      <c r="AI57" s="203"/>
      <c r="AJ57" s="108">
        <f t="shared" si="11"/>
        <v>0</v>
      </c>
      <c r="AK57" s="163"/>
      <c r="AL57" s="258">
        <f t="shared" si="9"/>
        <v>0</v>
      </c>
      <c r="AM57" s="221">
        <v>25</v>
      </c>
      <c r="AN57" s="36"/>
      <c r="AR57" s="92"/>
      <c r="AS57" s="2"/>
      <c r="AT57" s="2"/>
      <c r="AU57" s="2"/>
      <c r="AV57" s="2"/>
      <c r="AY57" s="2"/>
      <c r="AZ57" s="2"/>
      <c r="BA57" s="2"/>
      <c r="BB57" s="2"/>
    </row>
    <row r="58" spans="1:54" ht="18.75" x14ac:dyDescent="0.3">
      <c r="A58" s="280"/>
      <c r="B58" s="135"/>
      <c r="C58" s="135"/>
      <c r="D58" s="135"/>
      <c r="E58" s="135"/>
      <c r="F58" s="135"/>
      <c r="G58" s="135"/>
      <c r="H58" s="135"/>
      <c r="I58" s="135"/>
      <c r="J58" s="135"/>
      <c r="K58" s="135"/>
      <c r="L58" s="135"/>
      <c r="M58" s="135"/>
      <c r="N58" s="135"/>
      <c r="O58" s="135"/>
      <c r="P58" s="135"/>
      <c r="Q58" s="124"/>
      <c r="R58" s="135"/>
      <c r="S58" s="124"/>
      <c r="T58" s="124"/>
      <c r="U58" s="124"/>
      <c r="V58" s="124"/>
      <c r="W58" s="135"/>
      <c r="X58" s="182">
        <v>26</v>
      </c>
      <c r="Y58" s="200"/>
      <c r="Z58" s="201"/>
      <c r="AA58" s="182"/>
      <c r="AB58" s="182"/>
      <c r="AC58" s="277"/>
      <c r="AD58" s="108"/>
      <c r="AE58" s="108">
        <f t="shared" si="12"/>
        <v>0</v>
      </c>
      <c r="AF58" s="182"/>
      <c r="AG58" s="182"/>
      <c r="AH58" s="202"/>
      <c r="AI58" s="203"/>
      <c r="AJ58" s="108">
        <f t="shared" si="11"/>
        <v>0</v>
      </c>
      <c r="AK58" s="163"/>
      <c r="AL58" s="258">
        <f t="shared" si="9"/>
        <v>0</v>
      </c>
      <c r="AM58" s="221">
        <v>26</v>
      </c>
      <c r="AN58" s="16"/>
      <c r="AR58" s="2"/>
      <c r="AS58" s="2"/>
      <c r="AT58" s="2"/>
      <c r="AU58" s="2"/>
      <c r="AV58" s="2"/>
      <c r="AY58" s="2"/>
      <c r="AZ58" s="2"/>
      <c r="BA58" s="2"/>
      <c r="BB58" s="2"/>
    </row>
    <row r="59" spans="1:54" ht="18.75" x14ac:dyDescent="0.3">
      <c r="A59" s="280"/>
      <c r="B59" s="135"/>
      <c r="C59" s="135"/>
      <c r="D59" s="135"/>
      <c r="E59" s="135"/>
      <c r="F59" s="135"/>
      <c r="G59" s="135"/>
      <c r="H59" s="135"/>
      <c r="I59" s="135"/>
      <c r="J59" s="135"/>
      <c r="K59" s="135"/>
      <c r="L59" s="135"/>
      <c r="M59" s="135"/>
      <c r="N59" s="135"/>
      <c r="O59" s="135"/>
      <c r="P59" s="135"/>
      <c r="Q59" s="124"/>
      <c r="R59" s="135"/>
      <c r="S59" s="124"/>
      <c r="T59" s="124"/>
      <c r="U59" s="124"/>
      <c r="V59" s="124"/>
      <c r="W59" s="135"/>
      <c r="X59" s="182">
        <v>27</v>
      </c>
      <c r="Y59" s="200"/>
      <c r="Z59" s="201"/>
      <c r="AA59" s="182"/>
      <c r="AB59" s="182"/>
      <c r="AC59" s="277"/>
      <c r="AD59" s="108"/>
      <c r="AE59" s="108">
        <f t="shared" si="12"/>
        <v>0</v>
      </c>
      <c r="AF59" s="182"/>
      <c r="AG59" s="182"/>
      <c r="AH59" s="202"/>
      <c r="AI59" s="203"/>
      <c r="AJ59" s="108">
        <f t="shared" si="11"/>
        <v>0</v>
      </c>
      <c r="AK59" s="163"/>
      <c r="AL59" s="258">
        <f t="shared" si="9"/>
        <v>0</v>
      </c>
      <c r="AM59" s="221">
        <v>27</v>
      </c>
      <c r="AN59" s="16"/>
      <c r="AR59" s="2"/>
      <c r="AS59" s="2"/>
      <c r="AT59" s="2"/>
      <c r="AU59" s="2"/>
      <c r="AV59" s="12"/>
      <c r="AY59" s="2"/>
      <c r="AZ59" s="2"/>
      <c r="BA59" s="2"/>
      <c r="BB59" s="2"/>
    </row>
    <row r="60" spans="1:54" ht="18.75" x14ac:dyDescent="0.3">
      <c r="A60" s="280"/>
      <c r="B60" s="135"/>
      <c r="C60" s="135"/>
      <c r="D60" s="135"/>
      <c r="E60" s="135"/>
      <c r="F60" s="135"/>
      <c r="G60" s="135"/>
      <c r="H60" s="135"/>
      <c r="I60" s="135"/>
      <c r="J60" s="135"/>
      <c r="K60" s="135"/>
      <c r="L60" s="135"/>
      <c r="M60" s="135"/>
      <c r="N60" s="135"/>
      <c r="O60" s="135"/>
      <c r="P60" s="135"/>
      <c r="Q60" s="124"/>
      <c r="R60" s="135"/>
      <c r="S60" s="124"/>
      <c r="T60" s="124"/>
      <c r="U60" s="124"/>
      <c r="V60" s="124"/>
      <c r="W60" s="135"/>
      <c r="X60" s="182">
        <v>28</v>
      </c>
      <c r="Y60" s="200"/>
      <c r="Z60" s="201"/>
      <c r="AA60" s="182"/>
      <c r="AB60" s="227"/>
      <c r="AC60" s="277"/>
      <c r="AD60" s="108"/>
      <c r="AE60" s="108">
        <f t="shared" si="12"/>
        <v>0</v>
      </c>
      <c r="AF60" s="182"/>
      <c r="AG60" s="182"/>
      <c r="AH60" s="202"/>
      <c r="AI60" s="203"/>
      <c r="AJ60" s="108">
        <f t="shared" si="11"/>
        <v>0</v>
      </c>
      <c r="AK60" s="163"/>
      <c r="AL60" s="258">
        <f t="shared" si="9"/>
        <v>0</v>
      </c>
      <c r="AM60" s="221">
        <v>28</v>
      </c>
      <c r="AN60" s="16"/>
      <c r="AR60" s="12"/>
      <c r="AS60" s="2"/>
      <c r="AT60" s="2"/>
      <c r="AU60" s="2"/>
      <c r="AV60" s="12"/>
      <c r="AY60" s="2"/>
      <c r="AZ60" s="2"/>
      <c r="BA60" s="2"/>
      <c r="BB60" s="2"/>
    </row>
    <row r="61" spans="1:54" ht="18.75" x14ac:dyDescent="0.3">
      <c r="A61" s="280"/>
      <c r="B61" s="135"/>
      <c r="C61" s="135"/>
      <c r="D61" s="135"/>
      <c r="E61" s="135"/>
      <c r="F61" s="135"/>
      <c r="G61" s="135"/>
      <c r="H61" s="135"/>
      <c r="I61" s="135"/>
      <c r="J61" s="135"/>
      <c r="K61" s="135"/>
      <c r="L61" s="135"/>
      <c r="M61" s="135"/>
      <c r="N61" s="135"/>
      <c r="O61" s="135"/>
      <c r="P61" s="135"/>
      <c r="Q61" s="124"/>
      <c r="R61" s="135"/>
      <c r="S61" s="124"/>
      <c r="T61" s="124"/>
      <c r="U61" s="124"/>
      <c r="V61" s="124"/>
      <c r="W61" s="135"/>
      <c r="X61" s="182">
        <v>29</v>
      </c>
      <c r="Y61" s="223"/>
      <c r="Z61" s="224"/>
      <c r="AA61" s="208"/>
      <c r="AB61" s="208"/>
      <c r="AC61" s="277"/>
      <c r="AD61" s="210"/>
      <c r="AE61" s="108">
        <f t="shared" si="12"/>
        <v>0</v>
      </c>
      <c r="AF61" s="182"/>
      <c r="AG61" s="182"/>
      <c r="AH61" s="282"/>
      <c r="AI61" s="203"/>
      <c r="AJ61" s="108">
        <f t="shared" si="11"/>
        <v>0</v>
      </c>
      <c r="AK61" s="306"/>
      <c r="AL61" s="258">
        <f t="shared" si="9"/>
        <v>0</v>
      </c>
      <c r="AM61" s="221">
        <v>29</v>
      </c>
      <c r="AN61" s="16"/>
      <c r="AR61" s="12"/>
      <c r="AS61" s="2"/>
      <c r="AT61" s="2"/>
      <c r="AU61" s="2"/>
      <c r="AV61" s="12"/>
    </row>
    <row r="62" spans="1:54" ht="18.75" x14ac:dyDescent="0.3">
      <c r="A62" s="280"/>
      <c r="B62" s="135"/>
      <c r="C62" s="135"/>
      <c r="D62" s="135"/>
      <c r="E62" s="135"/>
      <c r="F62" s="135"/>
      <c r="G62" s="135"/>
      <c r="H62" s="135"/>
      <c r="I62" s="135"/>
      <c r="J62" s="135"/>
      <c r="K62" s="135"/>
      <c r="L62" s="135"/>
      <c r="M62" s="135"/>
      <c r="N62" s="135"/>
      <c r="O62" s="135"/>
      <c r="P62" s="135"/>
      <c r="Q62" s="124"/>
      <c r="R62" s="135"/>
      <c r="S62" s="124"/>
      <c r="T62" s="124"/>
      <c r="U62" s="124"/>
      <c r="V62" s="124"/>
      <c r="W62" s="135"/>
      <c r="X62" s="182">
        <v>30</v>
      </c>
      <c r="Y62" s="223"/>
      <c r="Z62" s="224"/>
      <c r="AA62" s="208"/>
      <c r="AB62" s="208"/>
      <c r="AC62" s="277"/>
      <c r="AD62" s="108"/>
      <c r="AE62" s="108">
        <f t="shared" si="12"/>
        <v>0</v>
      </c>
      <c r="AF62" s="182"/>
      <c r="AG62" s="283"/>
      <c r="AH62" s="284"/>
      <c r="AI62" s="285"/>
      <c r="AJ62" s="286">
        <f t="shared" si="11"/>
        <v>0</v>
      </c>
      <c r="AK62" s="301"/>
      <c r="AL62" s="307">
        <f t="shared" si="9"/>
        <v>0</v>
      </c>
      <c r="AM62" s="221">
        <v>30</v>
      </c>
      <c r="AN62" s="16"/>
      <c r="AR62" s="2"/>
      <c r="AS62" s="2"/>
      <c r="AT62" s="2"/>
      <c r="AU62" s="2"/>
      <c r="AV62" s="12"/>
    </row>
    <row r="63" spans="1:54" ht="18.75" x14ac:dyDescent="0.3">
      <c r="A63" s="280"/>
      <c r="B63" s="135"/>
      <c r="C63" s="135"/>
      <c r="D63" s="135"/>
      <c r="E63" s="135"/>
      <c r="F63" s="135"/>
      <c r="G63" s="135"/>
      <c r="H63" s="135"/>
      <c r="I63" s="135"/>
      <c r="J63" s="135"/>
      <c r="K63" s="135"/>
      <c r="L63" s="135"/>
      <c r="M63" s="135"/>
      <c r="N63" s="135"/>
      <c r="O63" s="135"/>
      <c r="P63" s="135"/>
      <c r="Q63" s="124"/>
      <c r="R63" s="135"/>
      <c r="S63" s="124"/>
      <c r="T63" s="124"/>
      <c r="U63" s="124"/>
      <c r="V63" s="124"/>
      <c r="W63" s="135"/>
      <c r="X63" s="24"/>
      <c r="Y63" s="160"/>
      <c r="Z63" s="161"/>
      <c r="AA63" s="24"/>
      <c r="AB63" s="24"/>
      <c r="AC63" s="277">
        <f>SUM(AC33:AC62)</f>
        <v>1177.79</v>
      </c>
      <c r="AD63" s="287"/>
      <c r="AE63" s="163"/>
      <c r="AF63" s="24"/>
      <c r="AG63" s="288"/>
      <c r="AH63" s="289" t="s">
        <v>75</v>
      </c>
      <c r="AI63" s="290"/>
      <c r="AJ63" s="291">
        <f>SUM(AJ3:AJ62)</f>
        <v>1065.1199999999999</v>
      </c>
      <c r="AK63" s="163"/>
      <c r="AL63" s="258">
        <f t="shared" si="9"/>
        <v>1177.79</v>
      </c>
      <c r="AM63" s="38"/>
      <c r="AN63" s="16"/>
      <c r="AR63" s="2"/>
      <c r="AS63" s="2"/>
      <c r="AT63" s="2"/>
      <c r="AU63" s="2"/>
      <c r="AV63" s="12"/>
    </row>
    <row r="64" spans="1:54" ht="18.75" x14ac:dyDescent="0.3">
      <c r="A64" s="280"/>
      <c r="B64" s="135"/>
      <c r="C64" s="135"/>
      <c r="D64" s="135"/>
      <c r="E64" s="135"/>
      <c r="F64" s="135"/>
      <c r="G64" s="135"/>
      <c r="H64" s="135"/>
      <c r="I64" s="135"/>
      <c r="J64" s="135"/>
      <c r="K64" s="135"/>
      <c r="L64" s="135"/>
      <c r="M64" s="135"/>
      <c r="N64" s="135"/>
      <c r="O64" s="135"/>
      <c r="P64" s="135"/>
      <c r="Q64" s="124"/>
      <c r="R64" s="135"/>
      <c r="S64" s="124"/>
      <c r="T64" s="124"/>
      <c r="U64" s="124"/>
      <c r="V64" s="124"/>
      <c r="W64" s="135"/>
      <c r="X64" s="24"/>
      <c r="Y64" s="292"/>
      <c r="Z64" s="293"/>
      <c r="AA64" s="32"/>
      <c r="AB64" s="294"/>
      <c r="AC64" s="295" t="s">
        <v>16</v>
      </c>
      <c r="AD64" s="296">
        <f>SUM(AD33:AD63)</f>
        <v>118.60000000000001</v>
      </c>
      <c r="AE64" s="163"/>
      <c r="AF64" s="24"/>
      <c r="AG64" s="24"/>
      <c r="AH64" s="297"/>
      <c r="AI64" s="165"/>
      <c r="AJ64" s="163"/>
      <c r="AK64" s="163"/>
      <c r="AL64" s="124"/>
      <c r="AM64" s="124"/>
      <c r="AN64" s="36"/>
      <c r="AR64" s="2"/>
      <c r="AS64" s="2"/>
      <c r="AT64" s="2"/>
      <c r="AU64" s="2"/>
      <c r="AV64" s="12"/>
    </row>
    <row r="65" spans="1:55" ht="18.75" x14ac:dyDescent="0.3">
      <c r="A65" s="280"/>
      <c r="B65" s="135"/>
      <c r="C65" s="135"/>
      <c r="D65" s="135"/>
      <c r="E65" s="135"/>
      <c r="F65" s="135"/>
      <c r="G65" s="135"/>
      <c r="H65" s="135"/>
      <c r="I65" s="135"/>
      <c r="J65" s="135"/>
      <c r="K65" s="135"/>
      <c r="L65" s="135"/>
      <c r="M65" s="135"/>
      <c r="N65" s="135"/>
      <c r="O65" s="135"/>
      <c r="P65" s="135"/>
      <c r="Q65" s="124"/>
      <c r="R65" s="135"/>
      <c r="S65" s="124"/>
      <c r="T65" s="124"/>
      <c r="U65" s="124"/>
      <c r="V65" s="124"/>
      <c r="W65" s="135"/>
      <c r="X65" s="24"/>
      <c r="Y65" s="160"/>
      <c r="Z65" s="161"/>
      <c r="AA65" s="24"/>
      <c r="AB65" s="24"/>
      <c r="AC65" s="163"/>
      <c r="AD65" s="163"/>
      <c r="AE65" s="163"/>
      <c r="AF65" s="24"/>
      <c r="AG65" s="24"/>
      <c r="AH65" s="297"/>
      <c r="AI65" s="165"/>
      <c r="AJ65" s="163"/>
      <c r="AK65" s="163"/>
      <c r="AL65" s="24"/>
      <c r="AM65" s="308"/>
      <c r="AN65" s="16"/>
      <c r="AR65" s="2"/>
      <c r="AS65" s="2"/>
      <c r="AT65" s="2"/>
      <c r="AU65" s="2"/>
      <c r="AV65" s="2"/>
    </row>
    <row r="66" spans="1:55" ht="18.75" x14ac:dyDescent="0.3">
      <c r="A66" s="280"/>
      <c r="B66" s="135"/>
      <c r="C66" s="135"/>
      <c r="D66" s="135"/>
      <c r="E66" s="135"/>
      <c r="F66" s="135"/>
      <c r="G66" s="135"/>
      <c r="H66" s="135"/>
      <c r="I66" s="135"/>
      <c r="J66" s="135"/>
      <c r="K66" s="135"/>
      <c r="L66" s="135"/>
      <c r="M66" s="135"/>
      <c r="N66" s="135"/>
      <c r="O66" s="135"/>
      <c r="P66" s="135"/>
      <c r="Q66" s="124"/>
      <c r="R66" s="135"/>
      <c r="S66" s="124"/>
      <c r="T66" s="124"/>
      <c r="U66" s="124"/>
      <c r="V66" s="124"/>
      <c r="W66" s="135"/>
      <c r="X66" s="24"/>
      <c r="Y66" s="160"/>
      <c r="Z66" s="161"/>
      <c r="AA66" s="24"/>
      <c r="AB66" s="24"/>
      <c r="AC66" s="163"/>
      <c r="AD66" s="163"/>
      <c r="AE66" s="163"/>
      <c r="AF66" s="24"/>
      <c r="AG66" s="24"/>
      <c r="AH66" s="297"/>
      <c r="AI66" s="202" t="s">
        <v>76</v>
      </c>
      <c r="AJ66" s="163"/>
      <c r="AK66" s="163"/>
      <c r="AL66" s="24"/>
      <c r="AM66" s="308"/>
      <c r="AN66" s="16"/>
      <c r="AR66" s="2"/>
      <c r="AS66" s="2"/>
      <c r="AT66" s="2"/>
      <c r="AU66" s="2"/>
      <c r="AV66" s="2"/>
    </row>
    <row r="67" spans="1:55" ht="18.75" x14ac:dyDescent="0.3">
      <c r="A67" s="280"/>
      <c r="B67" s="135"/>
      <c r="C67" s="135"/>
      <c r="D67" s="135"/>
      <c r="E67" s="135"/>
      <c r="F67" s="135"/>
      <c r="G67" s="135"/>
      <c r="H67" s="135"/>
      <c r="I67" s="135"/>
      <c r="J67" s="135"/>
      <c r="K67" s="135"/>
      <c r="L67" s="135"/>
      <c r="M67" s="135"/>
      <c r="N67" s="135"/>
      <c r="O67" s="135"/>
      <c r="P67" s="135"/>
      <c r="Q67" s="124"/>
      <c r="R67" s="135"/>
      <c r="S67" s="124"/>
      <c r="T67" s="124"/>
      <c r="U67" s="124"/>
      <c r="V67" s="124"/>
      <c r="W67" s="135"/>
      <c r="X67" s="24"/>
      <c r="Y67" s="160"/>
      <c r="Z67" s="161"/>
      <c r="AA67" s="24"/>
      <c r="AB67" s="24"/>
      <c r="AC67" s="231" t="s">
        <v>16</v>
      </c>
      <c r="AD67" s="231">
        <f>AD30</f>
        <v>0</v>
      </c>
      <c r="AE67" s="163"/>
      <c r="AF67" s="24"/>
      <c r="AG67" s="24"/>
      <c r="AH67" s="297"/>
      <c r="AI67" s="233"/>
      <c r="AJ67" s="291">
        <f>AJ63</f>
        <v>1065.1199999999999</v>
      </c>
      <c r="AK67" s="163"/>
      <c r="AL67" s="24"/>
      <c r="AM67" s="308"/>
      <c r="AN67" s="16"/>
      <c r="AR67" s="2"/>
      <c r="AS67" s="2"/>
      <c r="AT67" s="2"/>
      <c r="AU67" s="2"/>
      <c r="AV67" s="2"/>
    </row>
    <row r="68" spans="1:55" ht="18.75" x14ac:dyDescent="0.3">
      <c r="A68" s="280"/>
      <c r="B68" s="135"/>
      <c r="C68" s="135"/>
      <c r="D68" s="135"/>
      <c r="E68" s="135"/>
      <c r="F68" s="135"/>
      <c r="G68" s="135"/>
      <c r="H68" s="135"/>
      <c r="I68" s="135"/>
      <c r="J68" s="135"/>
      <c r="K68" s="135"/>
      <c r="L68" s="135"/>
      <c r="M68" s="135"/>
      <c r="N68" s="135"/>
      <c r="O68" s="135"/>
      <c r="P68" s="135"/>
      <c r="Q68" s="124"/>
      <c r="R68" s="135"/>
      <c r="S68" s="124"/>
      <c r="T68" s="124"/>
      <c r="U68" s="124"/>
      <c r="V68" s="124"/>
      <c r="W68" s="135"/>
      <c r="X68" s="24"/>
      <c r="Y68" s="160"/>
      <c r="Z68" s="161"/>
      <c r="AA68" s="24"/>
      <c r="AB68" s="24"/>
      <c r="AC68" s="295" t="s">
        <v>16</v>
      </c>
      <c r="AD68" s="296">
        <f>AD64</f>
        <v>118.60000000000001</v>
      </c>
      <c r="AE68" s="163"/>
      <c r="AF68" s="24"/>
      <c r="AG68" s="24"/>
      <c r="AH68" s="297"/>
      <c r="AI68" s="298" t="s">
        <v>32</v>
      </c>
      <c r="AJ68" s="295">
        <f>'JANV 2026'!AJ69</f>
        <v>0</v>
      </c>
      <c r="AK68" s="163"/>
      <c r="AL68" s="24"/>
      <c r="AM68" s="308"/>
      <c r="AN68" s="16"/>
      <c r="AR68" s="2"/>
      <c r="AS68" s="2"/>
      <c r="AT68" s="2"/>
      <c r="AU68" s="2"/>
      <c r="AV68" s="2"/>
      <c r="BC68" s="20"/>
    </row>
    <row r="69" spans="1:55" ht="18.75" x14ac:dyDescent="0.3">
      <c r="A69" s="280"/>
      <c r="B69" s="135"/>
      <c r="C69" s="135"/>
      <c r="D69" s="135"/>
      <c r="E69" s="135"/>
      <c r="F69" s="135"/>
      <c r="G69" s="135"/>
      <c r="H69" s="135"/>
      <c r="I69" s="135"/>
      <c r="J69" s="135"/>
      <c r="K69" s="135"/>
      <c r="L69" s="135"/>
      <c r="M69" s="135"/>
      <c r="N69" s="135"/>
      <c r="O69" s="135"/>
      <c r="P69" s="135"/>
      <c r="Q69" s="124"/>
      <c r="R69" s="135"/>
      <c r="S69" s="124"/>
      <c r="T69" s="124"/>
      <c r="U69" s="124"/>
      <c r="V69" s="124"/>
      <c r="W69" s="135"/>
      <c r="X69" s="24"/>
      <c r="Y69" s="160"/>
      <c r="Z69" s="161"/>
      <c r="AA69" s="24"/>
      <c r="AB69" s="24"/>
      <c r="AC69" s="299" t="s">
        <v>74</v>
      </c>
      <c r="AD69" s="299">
        <f>SUM(AD67:AD68)</f>
        <v>118.60000000000001</v>
      </c>
      <c r="AE69" s="163"/>
      <c r="AF69" s="24"/>
      <c r="AG69" s="24"/>
      <c r="AH69" s="297"/>
      <c r="AI69" s="298" t="s">
        <v>33</v>
      </c>
      <c r="AJ69" s="300">
        <f>SUM(AJ67:AJ68)</f>
        <v>1065.1199999999999</v>
      </c>
      <c r="AK69" s="163"/>
      <c r="AL69" s="24"/>
      <c r="AM69" s="308"/>
      <c r="AN69" s="16"/>
      <c r="AR69" s="2"/>
      <c r="AS69" s="2"/>
      <c r="AT69" s="2"/>
      <c r="AU69" s="2"/>
      <c r="AV69" s="2"/>
      <c r="BC69" s="20"/>
    </row>
    <row r="70" spans="1:55" ht="18.75" x14ac:dyDescent="0.3">
      <c r="A70" s="1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X70" s="16"/>
      <c r="Y70" s="41"/>
      <c r="Z70" s="42"/>
      <c r="AA70" s="20"/>
      <c r="AB70" s="44"/>
      <c r="AC70" s="19"/>
      <c r="AD70" s="19"/>
      <c r="AE70" s="19"/>
      <c r="AF70" s="20"/>
      <c r="AG70" s="20"/>
      <c r="AH70" s="43"/>
      <c r="AI70" s="21"/>
      <c r="AJ70" s="22"/>
      <c r="AK70" s="17"/>
      <c r="AL70" s="16"/>
      <c r="AM70" s="39"/>
      <c r="AN70" s="22"/>
      <c r="AR70" s="2"/>
      <c r="AS70" s="2"/>
      <c r="AT70" s="2"/>
      <c r="AU70" s="2"/>
      <c r="AV70" s="2"/>
    </row>
    <row r="71" spans="1:55" ht="18.75" x14ac:dyDescent="0.3">
      <c r="A71" s="1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X71" s="16"/>
      <c r="Y71" s="45"/>
      <c r="Z71" s="46"/>
      <c r="AA71" s="47"/>
      <c r="AB71" s="47"/>
      <c r="AC71" s="48"/>
      <c r="AD71" s="48"/>
      <c r="AE71" s="19"/>
      <c r="AF71" s="20"/>
      <c r="AG71" s="20"/>
      <c r="AH71" s="43"/>
      <c r="AK71" s="17"/>
      <c r="AL71" s="16"/>
      <c r="AM71" s="39"/>
      <c r="AN71" s="22"/>
      <c r="BA71" s="7"/>
    </row>
    <row r="72" spans="1:55" ht="18.75" x14ac:dyDescent="0.3">
      <c r="A72" s="1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X72" s="16"/>
      <c r="Y72" s="45"/>
      <c r="Z72" s="46"/>
      <c r="AA72" s="47"/>
      <c r="AB72" s="47"/>
      <c r="AC72" s="19"/>
      <c r="AD72" s="19"/>
      <c r="AE72" s="19"/>
      <c r="AF72" s="20"/>
      <c r="AG72" s="20"/>
      <c r="AH72" s="43"/>
      <c r="AK72" s="17"/>
      <c r="AL72" s="16"/>
      <c r="AM72" s="39"/>
      <c r="AN72" s="22"/>
      <c r="AY72" s="7"/>
      <c r="BA72" s="7"/>
    </row>
    <row r="73" spans="1:55" ht="18.75" x14ac:dyDescent="0.3">
      <c r="A73" s="1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X73" s="16"/>
      <c r="Y73" s="41"/>
      <c r="Z73" s="42"/>
      <c r="AA73" s="20"/>
      <c r="AB73" s="20"/>
      <c r="AC73" s="19"/>
      <c r="AD73" s="19"/>
      <c r="AE73" s="19"/>
      <c r="AF73" s="20"/>
      <c r="AG73" s="20"/>
      <c r="AH73" s="49"/>
      <c r="AK73" s="17"/>
      <c r="AL73" s="16"/>
      <c r="AM73" s="40" t="s">
        <v>34</v>
      </c>
      <c r="AN73" s="16"/>
      <c r="AY73" s="7"/>
      <c r="BA73" s="7"/>
    </row>
    <row r="74" spans="1:55" x14ac:dyDescent="0.2">
      <c r="A74" s="1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AY74" s="2"/>
    </row>
    <row r="75" spans="1:55" x14ac:dyDescent="0.2">
      <c r="A75" s="1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AR75" s="2"/>
      <c r="AS75" s="2"/>
      <c r="AT75" s="2"/>
      <c r="AU75" s="2"/>
      <c r="AV75" s="2"/>
      <c r="AY75" s="2"/>
      <c r="AZ75" s="2"/>
      <c r="BA75" s="2"/>
      <c r="BB75" s="2"/>
    </row>
    <row r="76" spans="1:55" x14ac:dyDescent="0.2">
      <c r="A76" s="1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AR76" s="92"/>
      <c r="AS76" s="11"/>
      <c r="AT76" s="11"/>
      <c r="AU76" s="11"/>
      <c r="AV76" s="2"/>
      <c r="AY76" s="2"/>
      <c r="AZ76" s="2"/>
      <c r="BA76" s="12"/>
      <c r="BB76" s="2"/>
    </row>
    <row r="77" spans="1:55" x14ac:dyDescent="0.2">
      <c r="A77" s="12"/>
      <c r="B77" s="2"/>
      <c r="L77" s="2"/>
      <c r="M77" s="2"/>
      <c r="N77" s="2"/>
      <c r="O77" s="2"/>
      <c r="AR77" s="92"/>
      <c r="AS77" s="11"/>
      <c r="AT77" s="11"/>
      <c r="AU77" s="11"/>
      <c r="AV77" s="2"/>
      <c r="AY77" s="12"/>
      <c r="AZ77" s="2"/>
      <c r="BA77" s="12"/>
      <c r="BB77" s="2"/>
    </row>
    <row r="78" spans="1:55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AR78" s="92"/>
      <c r="AS78" s="11"/>
      <c r="AT78" s="11"/>
      <c r="AU78" s="11"/>
      <c r="AV78" s="2"/>
      <c r="AY78" s="12"/>
      <c r="AZ78" s="2"/>
      <c r="BA78" s="12"/>
      <c r="BB78" s="2"/>
    </row>
    <row r="79" spans="1:55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AR79" s="92"/>
      <c r="AS79" s="2"/>
      <c r="AT79" s="2"/>
      <c r="AU79" s="2"/>
      <c r="AV79" s="2"/>
      <c r="AY79" s="2"/>
      <c r="AZ79" s="2"/>
      <c r="BA79" s="12"/>
      <c r="BB79" s="2"/>
    </row>
    <row r="80" spans="1:55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AR80" s="2"/>
      <c r="AS80" s="11"/>
      <c r="AT80" s="11"/>
      <c r="AU80" s="11"/>
      <c r="AV80" s="2"/>
      <c r="AY80" s="2"/>
      <c r="AZ80" s="2"/>
      <c r="BA80" s="2"/>
      <c r="BB80" s="2"/>
    </row>
    <row r="81" spans="1:54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AR81" s="92"/>
      <c r="AS81" s="2"/>
      <c r="AT81" s="2"/>
      <c r="AU81" s="2"/>
      <c r="AV81" s="2"/>
      <c r="AY81" s="2"/>
      <c r="AZ81" s="2"/>
      <c r="BA81" s="2"/>
      <c r="BB81" s="2"/>
    </row>
    <row r="82" spans="1:54" x14ac:dyDescent="0.2">
      <c r="A82" s="2"/>
      <c r="B82" s="2"/>
      <c r="C82" s="2"/>
      <c r="D82" s="2"/>
      <c r="E82" s="2"/>
      <c r="F82" s="2"/>
      <c r="G82" s="2"/>
      <c r="H82" s="2"/>
      <c r="I82" s="2"/>
      <c r="J82" s="13"/>
      <c r="K82" s="2"/>
      <c r="L82" s="2"/>
      <c r="M82" s="2"/>
      <c r="N82" s="2"/>
      <c r="O82" s="2"/>
      <c r="P82" s="2"/>
      <c r="AR82" s="2"/>
      <c r="AS82" s="2"/>
      <c r="AT82" s="2"/>
      <c r="AU82" s="2"/>
      <c r="AV82" s="2"/>
      <c r="AY82" s="2"/>
      <c r="AZ82" s="2"/>
      <c r="BA82" s="2"/>
      <c r="BB82" s="2"/>
    </row>
    <row r="83" spans="1:54" x14ac:dyDescent="0.2">
      <c r="J83" s="13"/>
      <c r="K83" s="2"/>
      <c r="AR83" s="2"/>
      <c r="AS83" s="2"/>
      <c r="AT83" s="2"/>
      <c r="AU83" s="2"/>
      <c r="AV83" s="12"/>
      <c r="AY83" s="2"/>
      <c r="AZ83" s="2"/>
      <c r="BA83" s="2"/>
      <c r="BB83" s="2"/>
    </row>
    <row r="84" spans="1:54" x14ac:dyDescent="0.2">
      <c r="AR84" s="12"/>
      <c r="AS84" s="2"/>
      <c r="AT84" s="2"/>
      <c r="AU84" s="2"/>
      <c r="AV84" s="12"/>
      <c r="AY84" s="2"/>
      <c r="AZ84" s="2"/>
      <c r="BA84" s="2"/>
      <c r="BB84" s="2"/>
    </row>
    <row r="85" spans="1:54" x14ac:dyDescent="0.2">
      <c r="A85" s="2"/>
      <c r="B85" s="2"/>
      <c r="AR85" s="12"/>
      <c r="AS85" s="2"/>
      <c r="AT85" s="2"/>
      <c r="AU85" s="2"/>
      <c r="AV85" s="12"/>
    </row>
    <row r="86" spans="1:54" x14ac:dyDescent="0.2">
      <c r="A86" s="2"/>
      <c r="B86" s="2"/>
      <c r="C86" s="2"/>
      <c r="D86" s="2"/>
      <c r="E86" s="2"/>
      <c r="F86" s="6"/>
      <c r="I86" s="6"/>
      <c r="AR86" s="2"/>
      <c r="AS86" s="2"/>
      <c r="AT86" s="2"/>
      <c r="AU86" s="2"/>
      <c r="AV86" s="12"/>
    </row>
    <row r="87" spans="1:54" x14ac:dyDescent="0.2">
      <c r="C87" s="5"/>
      <c r="F87" s="6"/>
      <c r="AR87" s="2"/>
      <c r="AS87" s="2"/>
      <c r="AT87" s="2"/>
      <c r="AU87" s="2"/>
      <c r="AV87" s="12"/>
    </row>
    <row r="88" spans="1:54" x14ac:dyDescent="0.2">
      <c r="C88" s="5"/>
      <c r="AR88" s="2"/>
      <c r="AS88" s="2"/>
      <c r="AT88" s="2"/>
      <c r="AU88" s="2"/>
      <c r="AV88" s="12"/>
    </row>
    <row r="89" spans="1:54" x14ac:dyDescent="0.2">
      <c r="C89" s="5"/>
      <c r="AR89" s="2"/>
      <c r="AS89" s="2"/>
      <c r="AT89" s="2"/>
      <c r="AU89" s="2"/>
      <c r="AV89" s="2"/>
    </row>
    <row r="90" spans="1:54" x14ac:dyDescent="0.2">
      <c r="C90" s="5"/>
      <c r="AR90" s="2"/>
      <c r="AS90" s="2"/>
      <c r="AT90" s="2"/>
      <c r="AU90" s="2"/>
      <c r="AV90" s="2"/>
    </row>
    <row r="91" spans="1:54" x14ac:dyDescent="0.2">
      <c r="C91" s="5"/>
      <c r="AR91" s="2"/>
      <c r="AS91" s="2"/>
      <c r="AT91" s="2"/>
      <c r="AU91" s="2"/>
      <c r="AV91" s="2"/>
    </row>
    <row r="92" spans="1:54" x14ac:dyDescent="0.2">
      <c r="C92" s="5"/>
      <c r="AR92" s="2"/>
      <c r="AS92" s="2"/>
      <c r="AT92" s="2"/>
      <c r="AU92" s="2"/>
      <c r="AV92" s="2"/>
    </row>
    <row r="93" spans="1:54" x14ac:dyDescent="0.2">
      <c r="C93" s="5"/>
      <c r="AR93" s="2"/>
      <c r="AS93" s="2"/>
      <c r="AT93" s="2"/>
      <c r="AU93" s="2"/>
      <c r="AV93" s="2"/>
    </row>
    <row r="94" spans="1:54" x14ac:dyDescent="0.2">
      <c r="C94" s="5"/>
      <c r="AR94" s="2"/>
      <c r="AS94" s="11"/>
      <c r="AT94" s="11"/>
      <c r="AU94" s="11"/>
      <c r="AV94" s="2"/>
    </row>
    <row r="95" spans="1:54" x14ac:dyDescent="0.2">
      <c r="C95" s="5"/>
    </row>
    <row r="96" spans="1:54" x14ac:dyDescent="0.2">
      <c r="C96" s="5"/>
    </row>
    <row r="97" spans="3:3" x14ac:dyDescent="0.2">
      <c r="C97" s="5"/>
    </row>
    <row r="98" spans="3:3" x14ac:dyDescent="0.2">
      <c r="C98" s="5"/>
    </row>
    <row r="99" spans="3:3" x14ac:dyDescent="0.2">
      <c r="C99" s="5"/>
    </row>
    <row r="100" spans="3:3" x14ac:dyDescent="0.2">
      <c r="C100" s="5"/>
    </row>
    <row r="101" spans="3:3" x14ac:dyDescent="0.2">
      <c r="C101" s="5"/>
    </row>
    <row r="102" spans="3:3" x14ac:dyDescent="0.2">
      <c r="C102" s="5"/>
    </row>
    <row r="103" spans="3:3" x14ac:dyDescent="0.2">
      <c r="C103" s="5"/>
    </row>
    <row r="104" spans="3:3" x14ac:dyDescent="0.2">
      <c r="C104" s="5"/>
    </row>
    <row r="105" spans="3:3" x14ac:dyDescent="0.2">
      <c r="C105" s="5"/>
    </row>
    <row r="106" spans="3:3" x14ac:dyDescent="0.2">
      <c r="C106" s="5"/>
    </row>
    <row r="107" spans="3:3" x14ac:dyDescent="0.2">
      <c r="C107" s="5"/>
    </row>
    <row r="108" spans="3:3" x14ac:dyDescent="0.2">
      <c r="C108" s="5"/>
    </row>
    <row r="109" spans="3:3" x14ac:dyDescent="0.2">
      <c r="C109" s="5"/>
    </row>
    <row r="110" spans="3:3" x14ac:dyDescent="0.2">
      <c r="C110" s="5"/>
    </row>
    <row r="111" spans="3:3" x14ac:dyDescent="0.2">
      <c r="C111" s="5"/>
    </row>
    <row r="112" spans="3:3" x14ac:dyDescent="0.2">
      <c r="C112" s="5"/>
    </row>
    <row r="113" spans="3:3" x14ac:dyDescent="0.2">
      <c r="C113" s="5"/>
    </row>
    <row r="114" spans="3:3" x14ac:dyDescent="0.2">
      <c r="C114" s="5"/>
    </row>
    <row r="115" spans="3:3" x14ac:dyDescent="0.2">
      <c r="C115" s="5"/>
    </row>
    <row r="116" spans="3:3" x14ac:dyDescent="0.2">
      <c r="C116" s="5"/>
    </row>
    <row r="117" spans="3:3" x14ac:dyDescent="0.2">
      <c r="C117" s="5"/>
    </row>
  </sheetData>
  <pageMargins left="0.25" right="0.25" top="0.75" bottom="0.75" header="0.3" footer="0.3"/>
  <pageSetup paperSize="9" scale="83" fitToHeight="0" orientation="landscape" horizontalDpi="4294967292" verticalDpi="4294967292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published="0">
    <pageSetUpPr fitToPage="1"/>
  </sheetPr>
  <dimension ref="A1:BE117"/>
  <sheetViews>
    <sheetView topLeftCell="C16" zoomScale="70" zoomScaleNormal="70" zoomScalePageLayoutView="85" workbookViewId="0">
      <selection activeCell="N40" sqref="N40:O45"/>
    </sheetView>
  </sheetViews>
  <sheetFormatPr baseColWidth="10" defaultColWidth="11" defaultRowHeight="12.75" x14ac:dyDescent="0.2"/>
  <cols>
    <col min="1" max="1" width="10.5" bestFit="1" customWidth="1"/>
    <col min="2" max="2" width="9.25" bestFit="1" customWidth="1"/>
    <col min="3" max="3" width="9" customWidth="1"/>
    <col min="4" max="4" width="8.25" customWidth="1"/>
    <col min="5" max="5" width="9.375" customWidth="1"/>
    <col min="6" max="6" width="9.25" customWidth="1"/>
    <col min="7" max="7" width="8" customWidth="1"/>
    <col min="8" max="8" width="9.375" customWidth="1"/>
    <col min="9" max="9" width="6.375" customWidth="1"/>
    <col min="10" max="10" width="8.375" customWidth="1"/>
    <col min="11" max="11" width="8.625" customWidth="1"/>
    <col min="12" max="12" width="7" customWidth="1"/>
    <col min="13" max="13" width="8.875" customWidth="1"/>
    <col min="14" max="14" width="8.25" customWidth="1"/>
    <col min="15" max="15" width="8.75" customWidth="1"/>
    <col min="16" max="16" width="17.25" bestFit="1" customWidth="1"/>
    <col min="17" max="17" width="39.125" customWidth="1"/>
    <col min="18" max="18" width="11" style="2"/>
    <col min="19" max="19" width="8" customWidth="1"/>
    <col min="20" max="20" width="12.375" customWidth="1"/>
    <col min="21" max="21" width="2.625" customWidth="1"/>
    <col min="22" max="22" width="33.75" customWidth="1"/>
    <col min="23" max="23" width="9.375" style="2" customWidth="1"/>
    <col min="24" max="24" width="9.25" customWidth="1"/>
    <col min="25" max="25" width="15" bestFit="1" customWidth="1"/>
    <col min="26" max="26" width="10.375" customWidth="1"/>
    <col min="27" max="27" width="14.5" bestFit="1" customWidth="1"/>
    <col min="28" max="28" width="11.375" customWidth="1"/>
    <col min="29" max="29" width="11.25" bestFit="1" customWidth="1"/>
    <col min="30" max="30" width="8.75" customWidth="1"/>
    <col min="31" max="31" width="12.875" customWidth="1"/>
    <col min="32" max="32" width="13.875" bestFit="1" customWidth="1"/>
    <col min="33" max="33" width="12.375" customWidth="1"/>
    <col min="34" max="34" width="9.25" customWidth="1"/>
    <col min="35" max="35" width="16.75" bestFit="1" customWidth="1"/>
    <col min="36" max="36" width="9.5" bestFit="1" customWidth="1"/>
    <col min="37" max="37" width="9.875" customWidth="1"/>
    <col min="38" max="38" width="10.75" customWidth="1"/>
  </cols>
  <sheetData>
    <row r="1" spans="1:57" ht="19.5" thickBot="1" x14ac:dyDescent="0.35">
      <c r="A1" s="123">
        <v>44681</v>
      </c>
      <c r="B1" s="124"/>
      <c r="C1" s="125" t="s">
        <v>22</v>
      </c>
      <c r="D1" s="125"/>
      <c r="E1" s="125"/>
      <c r="F1" s="126"/>
      <c r="G1" s="127" t="s">
        <v>23</v>
      </c>
      <c r="H1" s="127"/>
      <c r="I1" s="127"/>
      <c r="J1" s="127"/>
      <c r="K1" s="127"/>
      <c r="L1" s="128"/>
      <c r="M1" s="129" t="s">
        <v>6</v>
      </c>
      <c r="N1" s="129"/>
      <c r="O1" s="129"/>
      <c r="P1" s="130" t="s">
        <v>19</v>
      </c>
      <c r="Q1" s="131" t="s">
        <v>11</v>
      </c>
      <c r="R1" s="132" t="s">
        <v>12</v>
      </c>
      <c r="S1" s="133" t="s">
        <v>0</v>
      </c>
      <c r="T1" s="134" t="s">
        <v>13</v>
      </c>
      <c r="U1" s="124"/>
      <c r="V1" s="124"/>
      <c r="W1" s="135"/>
      <c r="X1" s="24"/>
      <c r="Y1" s="136" t="s">
        <v>25</v>
      </c>
      <c r="Z1" s="137" t="s">
        <v>5</v>
      </c>
      <c r="AA1" s="138" t="s">
        <v>26</v>
      </c>
      <c r="AB1" s="138" t="s">
        <v>27</v>
      </c>
      <c r="AC1" s="139" t="s">
        <v>15</v>
      </c>
      <c r="AD1" s="139" t="s">
        <v>16</v>
      </c>
      <c r="AE1" s="139" t="s">
        <v>12</v>
      </c>
      <c r="AF1" s="138" t="s">
        <v>28</v>
      </c>
      <c r="AG1" s="138" t="s">
        <v>29</v>
      </c>
      <c r="AH1" s="140" t="s">
        <v>5</v>
      </c>
      <c r="AI1" s="141" t="s">
        <v>30</v>
      </c>
      <c r="AJ1" s="24"/>
      <c r="AK1" s="301"/>
      <c r="AL1" s="24"/>
      <c r="AM1" s="302"/>
      <c r="AN1" s="16"/>
    </row>
    <row r="2" spans="1:57" s="2" customFormat="1" ht="19.5" thickBot="1" x14ac:dyDescent="0.35">
      <c r="A2" s="142" t="s">
        <v>5</v>
      </c>
      <c r="B2" s="143" t="s">
        <v>20</v>
      </c>
      <c r="C2" s="144">
        <v>6</v>
      </c>
      <c r="D2" s="145">
        <v>12</v>
      </c>
      <c r="E2" s="144">
        <v>21</v>
      </c>
      <c r="F2" s="146" t="s">
        <v>0</v>
      </c>
      <c r="G2" s="147" t="s">
        <v>24</v>
      </c>
      <c r="H2" s="148" t="s">
        <v>1</v>
      </c>
      <c r="I2" s="147" t="s">
        <v>21</v>
      </c>
      <c r="J2" s="147" t="s">
        <v>81</v>
      </c>
      <c r="K2" s="149" t="s">
        <v>2</v>
      </c>
      <c r="L2" s="150" t="s">
        <v>8</v>
      </c>
      <c r="M2" s="151" t="s">
        <v>7</v>
      </c>
      <c r="N2" s="152" t="s">
        <v>4</v>
      </c>
      <c r="O2" s="153" t="s">
        <v>3</v>
      </c>
      <c r="P2" s="154">
        <f>'AVRIL 2026'!P33</f>
        <v>250</v>
      </c>
      <c r="Q2" s="155"/>
      <c r="R2" s="156"/>
      <c r="S2" s="157"/>
      <c r="T2" s="158"/>
      <c r="U2" s="135"/>
      <c r="V2" s="159"/>
      <c r="W2" s="135"/>
      <c r="X2" s="24"/>
      <c r="Y2" s="160"/>
      <c r="Z2" s="161"/>
      <c r="AA2" s="24"/>
      <c r="AB2" s="162">
        <v>44681</v>
      </c>
      <c r="AC2" s="163"/>
      <c r="AD2" s="163"/>
      <c r="AE2" s="163"/>
      <c r="AF2" s="24"/>
      <c r="AG2" s="24"/>
      <c r="AH2" s="164"/>
      <c r="AI2" s="165"/>
      <c r="AJ2" s="24"/>
      <c r="AK2" s="163"/>
      <c r="AL2" s="24"/>
      <c r="AM2" s="302"/>
      <c r="AN2" s="16"/>
      <c r="AO2"/>
      <c r="AP2"/>
      <c r="AQ2" s="100"/>
      <c r="AR2" s="100"/>
      <c r="AS2" s="100"/>
      <c r="AT2" s="100"/>
      <c r="AU2" s="100"/>
      <c r="AV2" s="100"/>
      <c r="AW2" s="100"/>
      <c r="AX2"/>
      <c r="AZ2"/>
      <c r="BA2"/>
      <c r="BB2"/>
      <c r="BC2" s="20"/>
      <c r="BE2"/>
    </row>
    <row r="3" spans="1:57" ht="16.5" thickBot="1" x14ac:dyDescent="0.3">
      <c r="A3" s="166">
        <v>44681</v>
      </c>
      <c r="B3" s="167"/>
      <c r="C3" s="168"/>
      <c r="D3" s="168"/>
      <c r="E3" s="169"/>
      <c r="F3" s="170">
        <f>SUM(B3:E3)</f>
        <v>0</v>
      </c>
      <c r="G3" s="171">
        <f>F3</f>
        <v>0</v>
      </c>
      <c r="H3" s="168"/>
      <c r="I3" s="168"/>
      <c r="J3" s="169"/>
      <c r="K3" s="172">
        <f t="shared" ref="K3:K33" si="0">SUM(F3-H3-J3-I3)</f>
        <v>0</v>
      </c>
      <c r="L3" s="173">
        <f t="shared" ref="L3:L33" si="1">SUM(F3-H3-J3-I3)</f>
        <v>0</v>
      </c>
      <c r="M3" s="174"/>
      <c r="N3" s="175"/>
      <c r="O3" s="176">
        <f>SUM(L3-M3-N3+P2)</f>
        <v>250</v>
      </c>
      <c r="P3" s="177"/>
      <c r="Q3" s="178"/>
      <c r="R3" s="179"/>
      <c r="S3" s="180"/>
      <c r="T3" s="181"/>
      <c r="U3" s="124"/>
      <c r="V3" s="124"/>
      <c r="W3" s="135"/>
      <c r="X3" s="182">
        <v>1</v>
      </c>
      <c r="Y3" s="310"/>
      <c r="Z3" s="311"/>
      <c r="AA3" s="312"/>
      <c r="AB3" s="312"/>
      <c r="AC3" s="313"/>
      <c r="AD3" s="313"/>
      <c r="AE3" s="314">
        <f t="shared" ref="AE3:AE9" si="2">SUM(AC3:AD3)</f>
        <v>0</v>
      </c>
      <c r="AF3" s="312"/>
      <c r="AG3" s="312"/>
      <c r="AH3" s="315"/>
      <c r="AI3" s="316"/>
      <c r="AJ3" s="314">
        <v>0</v>
      </c>
      <c r="AK3" s="23"/>
      <c r="AL3" s="24"/>
      <c r="AM3" s="302"/>
      <c r="AN3" s="24"/>
      <c r="AQ3" s="100"/>
      <c r="AR3" s="59"/>
      <c r="AS3" s="59"/>
      <c r="AT3" s="59"/>
      <c r="AU3" s="59"/>
      <c r="AV3" s="59"/>
      <c r="AW3" s="100"/>
      <c r="AY3" s="2"/>
      <c r="AZ3" s="2"/>
      <c r="BA3" s="2"/>
      <c r="BB3" s="2"/>
      <c r="BC3" s="20"/>
      <c r="BD3" s="2"/>
    </row>
    <row r="4" spans="1:57" ht="16.5" thickBot="1" x14ac:dyDescent="0.3">
      <c r="A4" s="166">
        <v>44682</v>
      </c>
      <c r="B4" s="190"/>
      <c r="C4" s="179"/>
      <c r="D4" s="179"/>
      <c r="E4" s="175"/>
      <c r="F4" s="170">
        <f t="shared" ref="F4:F33" si="3">SUM(B4:E4)</f>
        <v>0</v>
      </c>
      <c r="G4" s="171">
        <f t="shared" ref="G4:G33" si="4">F4</f>
        <v>0</v>
      </c>
      <c r="H4" s="179"/>
      <c r="I4" s="191"/>
      <c r="J4" s="175"/>
      <c r="K4" s="192">
        <f t="shared" si="0"/>
        <v>0</v>
      </c>
      <c r="L4" s="193">
        <f t="shared" si="1"/>
        <v>0</v>
      </c>
      <c r="M4" s="174"/>
      <c r="N4" s="194"/>
      <c r="O4" s="195">
        <f>SUM(L4-M4-N4+O3+P4)</f>
        <v>250</v>
      </c>
      <c r="P4" s="196"/>
      <c r="Q4" s="197"/>
      <c r="R4" s="179"/>
      <c r="S4" s="198"/>
      <c r="T4" s="199"/>
      <c r="U4" s="124"/>
      <c r="V4" s="124"/>
      <c r="W4" s="135"/>
      <c r="X4" s="182">
        <v>2</v>
      </c>
      <c r="Y4" s="317"/>
      <c r="Z4" s="318"/>
      <c r="AA4" s="319"/>
      <c r="AB4" s="319"/>
      <c r="AC4" s="314"/>
      <c r="AD4" s="314"/>
      <c r="AE4" s="314">
        <f t="shared" si="2"/>
        <v>0</v>
      </c>
      <c r="AF4" s="319"/>
      <c r="AG4" s="319"/>
      <c r="AH4" s="315"/>
      <c r="AI4" s="316"/>
      <c r="AJ4" s="314">
        <f>AE4</f>
        <v>0</v>
      </c>
      <c r="AK4" s="25"/>
      <c r="AL4" s="124"/>
      <c r="AM4" s="124"/>
      <c r="AN4" s="28"/>
      <c r="AQ4" s="100"/>
      <c r="AR4" s="70"/>
      <c r="AS4" s="71"/>
      <c r="AT4" s="71"/>
      <c r="AU4" s="71"/>
      <c r="AV4" s="59"/>
      <c r="AW4" s="100"/>
      <c r="AY4" s="2"/>
      <c r="AZ4" s="2"/>
      <c r="BA4" s="12"/>
      <c r="BB4" s="2"/>
    </row>
    <row r="5" spans="1:57" ht="16.5" thickBot="1" x14ac:dyDescent="0.3">
      <c r="A5" s="166">
        <v>44683</v>
      </c>
      <c r="B5" s="190"/>
      <c r="C5" s="179"/>
      <c r="D5" s="179"/>
      <c r="E5" s="175"/>
      <c r="F5" s="170">
        <f t="shared" si="3"/>
        <v>0</v>
      </c>
      <c r="G5" s="171">
        <f t="shared" si="4"/>
        <v>0</v>
      </c>
      <c r="H5" s="179"/>
      <c r="I5" s="191"/>
      <c r="J5" s="175"/>
      <c r="K5" s="192">
        <f t="shared" si="0"/>
        <v>0</v>
      </c>
      <c r="L5" s="193">
        <f t="shared" si="1"/>
        <v>0</v>
      </c>
      <c r="M5" s="174"/>
      <c r="N5" s="194"/>
      <c r="O5" s="195">
        <f>SUM(L5-M5-N5+O4+P5)</f>
        <v>250</v>
      </c>
      <c r="P5" s="196"/>
      <c r="Q5" s="178"/>
      <c r="R5" s="179"/>
      <c r="S5" s="180"/>
      <c r="T5" s="181"/>
      <c r="U5" s="124"/>
      <c r="V5" s="124"/>
      <c r="W5" s="135"/>
      <c r="X5" s="182">
        <v>3</v>
      </c>
      <c r="Y5" s="317"/>
      <c r="Z5" s="318"/>
      <c r="AA5" s="319"/>
      <c r="AB5" s="319"/>
      <c r="AC5" s="313"/>
      <c r="AD5" s="313"/>
      <c r="AE5" s="314">
        <f t="shared" si="2"/>
        <v>0</v>
      </c>
      <c r="AF5" s="319"/>
      <c r="AG5" s="319"/>
      <c r="AH5" s="315"/>
      <c r="AI5" s="316"/>
      <c r="AJ5" s="314">
        <v>0</v>
      </c>
      <c r="AK5" s="25"/>
      <c r="AL5" s="124"/>
      <c r="AM5" s="124"/>
      <c r="AN5" s="32"/>
      <c r="AQ5" s="100"/>
      <c r="AR5" s="70"/>
      <c r="AS5" s="71"/>
      <c r="AT5" s="71"/>
      <c r="AU5" s="71"/>
      <c r="AV5" s="59"/>
      <c r="AW5" s="100"/>
      <c r="AY5" s="12"/>
      <c r="AZ5" s="2"/>
      <c r="BA5" s="12"/>
      <c r="BB5" s="2"/>
    </row>
    <row r="6" spans="1:57" ht="19.5" thickBot="1" x14ac:dyDescent="0.35">
      <c r="A6" s="166">
        <v>44684</v>
      </c>
      <c r="B6" s="190"/>
      <c r="C6" s="179"/>
      <c r="D6" s="179"/>
      <c r="E6" s="175"/>
      <c r="F6" s="170">
        <f t="shared" si="3"/>
        <v>0</v>
      </c>
      <c r="G6" s="171">
        <f t="shared" si="4"/>
        <v>0</v>
      </c>
      <c r="H6" s="179"/>
      <c r="I6" s="191"/>
      <c r="J6" s="175"/>
      <c r="K6" s="192">
        <f t="shared" si="0"/>
        <v>0</v>
      </c>
      <c r="L6" s="193">
        <f t="shared" si="1"/>
        <v>0</v>
      </c>
      <c r="M6" s="174"/>
      <c r="N6" s="194"/>
      <c r="O6" s="195">
        <f>SUM(L6-M6-N6+O5+P6)</f>
        <v>250</v>
      </c>
      <c r="P6" s="196"/>
      <c r="Q6" s="178"/>
      <c r="R6" s="179"/>
      <c r="S6" s="198"/>
      <c r="T6" s="199"/>
      <c r="U6" s="124"/>
      <c r="V6" s="124"/>
      <c r="W6" s="135"/>
      <c r="X6" s="182">
        <v>4</v>
      </c>
      <c r="Y6" s="310"/>
      <c r="Z6" s="311"/>
      <c r="AA6" s="312"/>
      <c r="AB6" s="320"/>
      <c r="AC6" s="313"/>
      <c r="AD6" s="313"/>
      <c r="AE6" s="314">
        <f t="shared" si="2"/>
        <v>0</v>
      </c>
      <c r="AF6" s="312"/>
      <c r="AG6" s="312"/>
      <c r="AH6" s="315"/>
      <c r="AI6" s="316"/>
      <c r="AJ6" s="314">
        <v>0</v>
      </c>
      <c r="AK6" s="301"/>
      <c r="AL6" s="124"/>
      <c r="AM6" s="124"/>
      <c r="AN6" s="34"/>
      <c r="AQ6" s="100"/>
      <c r="AR6" s="70"/>
      <c r="AS6" s="71"/>
      <c r="AT6" s="71"/>
      <c r="AU6" s="71"/>
      <c r="AV6" s="59"/>
      <c r="AW6" s="100"/>
      <c r="AY6" s="12"/>
      <c r="AZ6" s="2"/>
      <c r="BA6" s="12"/>
      <c r="BB6" s="2"/>
    </row>
    <row r="7" spans="1:57" ht="16.5" thickBot="1" x14ac:dyDescent="0.3">
      <c r="A7" s="166">
        <v>44685</v>
      </c>
      <c r="B7" s="190"/>
      <c r="C7" s="179"/>
      <c r="D7" s="179"/>
      <c r="E7" s="175"/>
      <c r="F7" s="170">
        <f t="shared" si="3"/>
        <v>0</v>
      </c>
      <c r="G7" s="171">
        <f t="shared" si="4"/>
        <v>0</v>
      </c>
      <c r="H7" s="179"/>
      <c r="I7" s="191"/>
      <c r="J7" s="175"/>
      <c r="K7" s="192">
        <f t="shared" si="0"/>
        <v>0</v>
      </c>
      <c r="L7" s="193">
        <f t="shared" si="1"/>
        <v>0</v>
      </c>
      <c r="M7" s="174"/>
      <c r="N7" s="194"/>
      <c r="O7" s="195">
        <f>SUM(L7-M7-N7+O6+P7)</f>
        <v>250</v>
      </c>
      <c r="P7" s="196"/>
      <c r="Q7" s="178"/>
      <c r="R7" s="179"/>
      <c r="S7" s="180"/>
      <c r="T7" s="199"/>
      <c r="U7" s="124"/>
      <c r="V7" s="124"/>
      <c r="W7" s="135"/>
      <c r="X7" s="182">
        <v>5</v>
      </c>
      <c r="Y7" s="317"/>
      <c r="Z7" s="318"/>
      <c r="AA7" s="319"/>
      <c r="AB7" s="319"/>
      <c r="AC7" s="314"/>
      <c r="AD7" s="314"/>
      <c r="AE7" s="314">
        <f t="shared" si="2"/>
        <v>0</v>
      </c>
      <c r="AF7" s="319"/>
      <c r="AG7" s="312"/>
      <c r="AH7" s="315"/>
      <c r="AI7" s="316"/>
      <c r="AJ7" s="314">
        <v>0</v>
      </c>
      <c r="AK7" s="23"/>
      <c r="AL7" s="124"/>
      <c r="AM7" s="124"/>
      <c r="AN7" s="24"/>
      <c r="AQ7" s="100"/>
      <c r="AR7" s="70"/>
      <c r="AS7" s="59"/>
      <c r="AT7" s="59"/>
      <c r="AU7" s="71"/>
      <c r="AV7" s="59"/>
      <c r="AW7" s="100"/>
      <c r="AY7" s="2"/>
      <c r="AZ7" s="2"/>
      <c r="BA7" s="12"/>
      <c r="BB7" s="2"/>
    </row>
    <row r="8" spans="1:57" ht="19.5" thickBot="1" x14ac:dyDescent="0.35">
      <c r="A8" s="166">
        <v>44686</v>
      </c>
      <c r="B8" s="190"/>
      <c r="C8" s="179"/>
      <c r="D8" s="179"/>
      <c r="E8" s="175"/>
      <c r="F8" s="170">
        <f t="shared" si="3"/>
        <v>0</v>
      </c>
      <c r="G8" s="171">
        <f t="shared" si="4"/>
        <v>0</v>
      </c>
      <c r="H8" s="179"/>
      <c r="I8" s="191"/>
      <c r="J8" s="175"/>
      <c r="K8" s="192">
        <f t="shared" si="0"/>
        <v>0</v>
      </c>
      <c r="L8" s="193">
        <f t="shared" si="1"/>
        <v>0</v>
      </c>
      <c r="M8" s="209"/>
      <c r="N8" s="194"/>
      <c r="O8" s="195">
        <f>SUM(L8-M8-N8+O7+P8)</f>
        <v>250</v>
      </c>
      <c r="P8" s="196"/>
      <c r="Q8" s="178"/>
      <c r="R8" s="179"/>
      <c r="S8" s="180"/>
      <c r="T8" s="199"/>
      <c r="U8" s="124"/>
      <c r="V8" s="124"/>
      <c r="W8" s="135"/>
      <c r="X8" s="182">
        <v>6</v>
      </c>
      <c r="Y8" s="310"/>
      <c r="Z8" s="311"/>
      <c r="AA8" s="312"/>
      <c r="AB8" s="312"/>
      <c r="AC8" s="313"/>
      <c r="AD8" s="313"/>
      <c r="AE8" s="314">
        <f t="shared" si="2"/>
        <v>0</v>
      </c>
      <c r="AF8" s="319"/>
      <c r="AG8" s="312"/>
      <c r="AH8" s="315"/>
      <c r="AI8" s="316"/>
      <c r="AJ8" s="314">
        <v>0</v>
      </c>
      <c r="AK8" s="163"/>
      <c r="AL8" s="124"/>
      <c r="AM8" s="124"/>
      <c r="AN8" s="34"/>
      <c r="AQ8" s="100"/>
      <c r="AR8" s="59"/>
      <c r="AS8" s="71"/>
      <c r="AT8" s="71"/>
      <c r="AU8" s="71"/>
      <c r="AV8" s="59"/>
      <c r="AW8" s="100"/>
      <c r="AY8" s="2"/>
      <c r="AZ8" s="2"/>
      <c r="BA8" s="2"/>
      <c r="BB8" s="2"/>
    </row>
    <row r="9" spans="1:57" ht="16.5" thickBot="1" x14ac:dyDescent="0.3">
      <c r="A9" s="166">
        <v>44687</v>
      </c>
      <c r="B9" s="190"/>
      <c r="C9" s="179"/>
      <c r="D9" s="179"/>
      <c r="E9" s="175"/>
      <c r="F9" s="170">
        <f t="shared" si="3"/>
        <v>0</v>
      </c>
      <c r="G9" s="171">
        <f t="shared" si="4"/>
        <v>0</v>
      </c>
      <c r="H9" s="179"/>
      <c r="I9" s="191"/>
      <c r="J9" s="175"/>
      <c r="K9" s="192">
        <f t="shared" si="0"/>
        <v>0</v>
      </c>
      <c r="L9" s="193">
        <f t="shared" si="1"/>
        <v>0</v>
      </c>
      <c r="M9" s="174"/>
      <c r="N9" s="194"/>
      <c r="O9" s="195">
        <f t="shared" ref="O9:O33" si="5">SUM(L9-M9-N9+O8)</f>
        <v>250</v>
      </c>
      <c r="P9" s="196"/>
      <c r="Q9" s="178"/>
      <c r="R9" s="179"/>
      <c r="S9" s="180"/>
      <c r="T9" s="199"/>
      <c r="U9" s="124"/>
      <c r="V9" s="124"/>
      <c r="W9" s="135"/>
      <c r="X9" s="182">
        <v>7</v>
      </c>
      <c r="Y9" s="200"/>
      <c r="Z9" s="201"/>
      <c r="AA9" s="182"/>
      <c r="AB9" s="182"/>
      <c r="AC9" s="210"/>
      <c r="AD9" s="210"/>
      <c r="AE9" s="108">
        <f t="shared" si="2"/>
        <v>0</v>
      </c>
      <c r="AF9" s="182"/>
      <c r="AG9" s="182"/>
      <c r="AH9" s="202"/>
      <c r="AI9" s="203"/>
      <c r="AJ9" s="108">
        <f>AE9</f>
        <v>0</v>
      </c>
      <c r="AK9" s="163"/>
      <c r="AL9" s="124"/>
      <c r="AM9" s="124"/>
      <c r="AN9" s="24"/>
      <c r="AQ9" s="100"/>
      <c r="AR9" s="70"/>
      <c r="AS9" s="59"/>
      <c r="AT9" s="59"/>
      <c r="AU9" s="59"/>
      <c r="AV9" s="59"/>
      <c r="AW9" s="100"/>
      <c r="AY9" s="2"/>
      <c r="AZ9" s="2"/>
      <c r="BA9" s="2"/>
      <c r="BB9" s="2"/>
    </row>
    <row r="10" spans="1:57" ht="19.5" thickBot="1" x14ac:dyDescent="0.35">
      <c r="A10" s="166">
        <v>44688</v>
      </c>
      <c r="B10" s="190"/>
      <c r="C10" s="179"/>
      <c r="D10" s="179"/>
      <c r="E10" s="175"/>
      <c r="F10" s="170">
        <f t="shared" si="3"/>
        <v>0</v>
      </c>
      <c r="G10" s="171">
        <f t="shared" si="4"/>
        <v>0</v>
      </c>
      <c r="H10" s="179"/>
      <c r="I10" s="191"/>
      <c r="J10" s="175"/>
      <c r="K10" s="192">
        <f t="shared" si="0"/>
        <v>0</v>
      </c>
      <c r="L10" s="193">
        <f t="shared" si="1"/>
        <v>0</v>
      </c>
      <c r="M10" s="174"/>
      <c r="N10" s="194"/>
      <c r="O10" s="195">
        <f t="shared" si="5"/>
        <v>250</v>
      </c>
      <c r="P10" s="196"/>
      <c r="Q10" s="178"/>
      <c r="R10" s="179"/>
      <c r="S10" s="180"/>
      <c r="T10" s="199"/>
      <c r="U10" s="124"/>
      <c r="V10" s="124"/>
      <c r="W10" s="135"/>
      <c r="X10" s="182">
        <v>8</v>
      </c>
      <c r="Y10" s="200"/>
      <c r="Z10" s="201"/>
      <c r="AA10" s="182"/>
      <c r="AB10" s="182"/>
      <c r="AC10" s="210"/>
      <c r="AD10" s="210"/>
      <c r="AE10" s="108">
        <f t="shared" ref="AE10:AE29" si="6">SUM(AC10:AD10)</f>
        <v>0</v>
      </c>
      <c r="AF10" s="182"/>
      <c r="AG10" s="182"/>
      <c r="AH10" s="202"/>
      <c r="AI10" s="203"/>
      <c r="AJ10" s="108">
        <f t="shared" ref="AJ10:AJ29" si="7">AE10</f>
        <v>0</v>
      </c>
      <c r="AK10" s="163"/>
      <c r="AL10" s="124"/>
      <c r="AM10" s="124"/>
      <c r="AN10" s="22"/>
      <c r="AQ10" s="100"/>
      <c r="AR10" s="59"/>
      <c r="AS10" s="59"/>
      <c r="AT10" s="59"/>
      <c r="AU10" s="59"/>
      <c r="AV10" s="59"/>
      <c r="AW10" s="100"/>
      <c r="AY10" s="2"/>
      <c r="AZ10" s="2"/>
      <c r="BA10" s="2"/>
      <c r="BB10" s="2"/>
    </row>
    <row r="11" spans="1:57" ht="19.5" thickBot="1" x14ac:dyDescent="0.35">
      <c r="A11" s="166">
        <v>44689</v>
      </c>
      <c r="B11" s="190"/>
      <c r="C11" s="179"/>
      <c r="D11" s="179"/>
      <c r="E11" s="175"/>
      <c r="F11" s="170">
        <f t="shared" si="3"/>
        <v>0</v>
      </c>
      <c r="G11" s="171">
        <f t="shared" si="4"/>
        <v>0</v>
      </c>
      <c r="H11" s="179"/>
      <c r="I11" s="191"/>
      <c r="J11" s="175"/>
      <c r="K11" s="192">
        <f t="shared" si="0"/>
        <v>0</v>
      </c>
      <c r="L11" s="193">
        <f t="shared" si="1"/>
        <v>0</v>
      </c>
      <c r="M11" s="174"/>
      <c r="N11" s="194"/>
      <c r="O11" s="195">
        <f t="shared" si="5"/>
        <v>250</v>
      </c>
      <c r="P11" s="196"/>
      <c r="Q11" s="211"/>
      <c r="R11" s="212"/>
      <c r="S11" s="198"/>
      <c r="T11" s="213"/>
      <c r="U11" s="124"/>
      <c r="V11" s="124"/>
      <c r="W11" s="135"/>
      <c r="X11" s="182">
        <v>9</v>
      </c>
      <c r="Y11" s="200"/>
      <c r="Z11" s="201"/>
      <c r="AA11" s="182"/>
      <c r="AB11" s="182"/>
      <c r="AC11" s="108"/>
      <c r="AD11" s="108"/>
      <c r="AE11" s="108">
        <f t="shared" si="6"/>
        <v>0</v>
      </c>
      <c r="AF11" s="182"/>
      <c r="AG11" s="182"/>
      <c r="AH11" s="202"/>
      <c r="AI11" s="203"/>
      <c r="AJ11" s="108">
        <f t="shared" si="7"/>
        <v>0</v>
      </c>
      <c r="AK11" s="163"/>
      <c r="AL11" s="124"/>
      <c r="AM11" s="124"/>
      <c r="AN11" s="22"/>
      <c r="AQ11" s="100"/>
      <c r="AR11" s="59"/>
      <c r="AS11" s="59"/>
      <c r="AT11" s="59"/>
      <c r="AU11" s="59"/>
      <c r="AV11" s="75"/>
      <c r="AW11" s="100"/>
      <c r="AY11" s="2"/>
      <c r="AZ11" s="2"/>
      <c r="BA11" s="2"/>
      <c r="BB11" s="2"/>
    </row>
    <row r="12" spans="1:57" ht="19.5" thickBot="1" x14ac:dyDescent="0.35">
      <c r="A12" s="166">
        <v>44690</v>
      </c>
      <c r="B12" s="190"/>
      <c r="C12" s="179"/>
      <c r="D12" s="179"/>
      <c r="E12" s="175"/>
      <c r="F12" s="170">
        <f t="shared" si="3"/>
        <v>0</v>
      </c>
      <c r="G12" s="171">
        <f t="shared" si="4"/>
        <v>0</v>
      </c>
      <c r="H12" s="179"/>
      <c r="I12" s="191"/>
      <c r="J12" s="175"/>
      <c r="K12" s="192">
        <f t="shared" si="0"/>
        <v>0</v>
      </c>
      <c r="L12" s="193">
        <f t="shared" si="1"/>
        <v>0</v>
      </c>
      <c r="M12" s="214"/>
      <c r="N12" s="194"/>
      <c r="O12" s="195">
        <f t="shared" si="5"/>
        <v>250</v>
      </c>
      <c r="P12" s="196"/>
      <c r="Q12" s="211"/>
      <c r="R12" s="212"/>
      <c r="S12" s="198"/>
      <c r="T12" s="213"/>
      <c r="U12" s="124"/>
      <c r="V12" s="124"/>
      <c r="W12" s="135"/>
      <c r="X12" s="182">
        <v>10</v>
      </c>
      <c r="Y12" s="200"/>
      <c r="Z12" s="201"/>
      <c r="AA12" s="182"/>
      <c r="AB12" s="182"/>
      <c r="AC12" s="108"/>
      <c r="AD12" s="108"/>
      <c r="AE12" s="108">
        <f t="shared" si="6"/>
        <v>0</v>
      </c>
      <c r="AF12" s="182"/>
      <c r="AG12" s="182"/>
      <c r="AH12" s="202"/>
      <c r="AI12" s="203"/>
      <c r="AJ12" s="108">
        <f t="shared" si="7"/>
        <v>0</v>
      </c>
      <c r="AK12" s="163"/>
      <c r="AL12" s="124"/>
      <c r="AM12" s="124"/>
      <c r="AN12" s="22"/>
      <c r="AQ12" s="100"/>
      <c r="AR12" s="75"/>
      <c r="AS12" s="59"/>
      <c r="AT12" s="59"/>
      <c r="AU12" s="59"/>
      <c r="AV12" s="75"/>
      <c r="AW12" s="100"/>
      <c r="AY12" s="2"/>
      <c r="AZ12" s="2"/>
      <c r="BA12" s="2"/>
      <c r="BB12" s="2"/>
    </row>
    <row r="13" spans="1:57" ht="19.5" thickBot="1" x14ac:dyDescent="0.35">
      <c r="A13" s="166">
        <v>44691</v>
      </c>
      <c r="B13" s="190"/>
      <c r="C13" s="179"/>
      <c r="D13" s="179"/>
      <c r="E13" s="175"/>
      <c r="F13" s="170">
        <f t="shared" si="3"/>
        <v>0</v>
      </c>
      <c r="G13" s="171">
        <f t="shared" si="4"/>
        <v>0</v>
      </c>
      <c r="H13" s="179"/>
      <c r="I13" s="191"/>
      <c r="J13" s="175"/>
      <c r="K13" s="192">
        <f t="shared" si="0"/>
        <v>0</v>
      </c>
      <c r="L13" s="193">
        <f t="shared" si="1"/>
        <v>0</v>
      </c>
      <c r="M13" s="174"/>
      <c r="N13" s="194"/>
      <c r="O13" s="195">
        <f t="shared" si="5"/>
        <v>250</v>
      </c>
      <c r="P13" s="196"/>
      <c r="Q13" s="215"/>
      <c r="R13" s="212"/>
      <c r="S13" s="198"/>
      <c r="T13" s="199"/>
      <c r="U13" s="124"/>
      <c r="V13" s="124"/>
      <c r="W13" s="135"/>
      <c r="X13" s="182">
        <v>11</v>
      </c>
      <c r="Y13" s="200"/>
      <c r="Z13" s="201"/>
      <c r="AA13" s="182"/>
      <c r="AB13" s="182"/>
      <c r="AC13" s="108"/>
      <c r="AD13" s="108"/>
      <c r="AE13" s="108">
        <f t="shared" si="6"/>
        <v>0</v>
      </c>
      <c r="AF13" s="182"/>
      <c r="AG13" s="216"/>
      <c r="AH13" s="202"/>
      <c r="AI13" s="203"/>
      <c r="AJ13" s="108">
        <f t="shared" si="7"/>
        <v>0</v>
      </c>
      <c r="AK13" s="301"/>
      <c r="AL13" s="124"/>
      <c r="AM13" s="124"/>
      <c r="AN13" s="16"/>
      <c r="AQ13" s="100"/>
      <c r="AR13" s="75"/>
      <c r="AS13" s="59"/>
      <c r="AT13" s="59"/>
      <c r="AU13" s="59"/>
      <c r="AV13" s="75"/>
      <c r="AW13" s="100"/>
    </row>
    <row r="14" spans="1:57" ht="19.5" thickBot="1" x14ac:dyDescent="0.35">
      <c r="A14" s="166">
        <v>44692</v>
      </c>
      <c r="B14" s="190"/>
      <c r="C14" s="179"/>
      <c r="D14" s="179"/>
      <c r="E14" s="175"/>
      <c r="F14" s="170">
        <f t="shared" si="3"/>
        <v>0</v>
      </c>
      <c r="G14" s="171">
        <f t="shared" si="4"/>
        <v>0</v>
      </c>
      <c r="H14" s="179"/>
      <c r="I14" s="191"/>
      <c r="J14" s="175"/>
      <c r="K14" s="192">
        <f t="shared" si="0"/>
        <v>0</v>
      </c>
      <c r="L14" s="193">
        <f t="shared" si="1"/>
        <v>0</v>
      </c>
      <c r="M14" s="174"/>
      <c r="N14" s="194"/>
      <c r="O14" s="195">
        <f t="shared" si="5"/>
        <v>250</v>
      </c>
      <c r="P14" s="196"/>
      <c r="Q14" s="215"/>
      <c r="R14" s="212"/>
      <c r="S14" s="198"/>
      <c r="T14" s="199"/>
      <c r="U14" s="124"/>
      <c r="V14" s="124"/>
      <c r="W14" s="135"/>
      <c r="X14" s="182">
        <v>12</v>
      </c>
      <c r="Y14" s="217"/>
      <c r="Z14" s="201"/>
      <c r="AA14" s="182"/>
      <c r="AB14" s="182"/>
      <c r="AC14" s="210"/>
      <c r="AD14" s="210"/>
      <c r="AE14" s="108">
        <f t="shared" si="6"/>
        <v>0</v>
      </c>
      <c r="AF14" s="182"/>
      <c r="AG14" s="216"/>
      <c r="AH14" s="202"/>
      <c r="AI14" s="203"/>
      <c r="AJ14" s="108">
        <f t="shared" si="7"/>
        <v>0</v>
      </c>
      <c r="AK14" s="301"/>
      <c r="AL14" s="124"/>
      <c r="AM14" s="124"/>
      <c r="AN14" s="16"/>
      <c r="AO14" s="4"/>
      <c r="AQ14" s="100"/>
      <c r="AR14" s="59"/>
      <c r="AS14" s="59"/>
      <c r="AT14" s="59"/>
      <c r="AU14" s="59"/>
      <c r="AV14" s="75"/>
      <c r="AW14" s="100"/>
    </row>
    <row r="15" spans="1:57" ht="19.5" thickBot="1" x14ac:dyDescent="0.35">
      <c r="A15" s="166">
        <v>44693</v>
      </c>
      <c r="B15" s="190"/>
      <c r="C15" s="179"/>
      <c r="D15" s="179"/>
      <c r="E15" s="175"/>
      <c r="F15" s="170">
        <f t="shared" si="3"/>
        <v>0</v>
      </c>
      <c r="G15" s="171">
        <f t="shared" si="4"/>
        <v>0</v>
      </c>
      <c r="H15" s="179"/>
      <c r="I15" s="191"/>
      <c r="J15" s="175"/>
      <c r="K15" s="192">
        <f t="shared" si="0"/>
        <v>0</v>
      </c>
      <c r="L15" s="193">
        <f t="shared" si="1"/>
        <v>0</v>
      </c>
      <c r="M15" s="174"/>
      <c r="N15" s="194"/>
      <c r="O15" s="195">
        <f t="shared" si="5"/>
        <v>250</v>
      </c>
      <c r="P15" s="196"/>
      <c r="Q15" s="218"/>
      <c r="R15" s="179"/>
      <c r="S15" s="180"/>
      <c r="T15" s="199"/>
      <c r="U15" s="124"/>
      <c r="V15" s="124"/>
      <c r="W15" s="135"/>
      <c r="X15" s="182">
        <v>13</v>
      </c>
      <c r="Y15" s="200"/>
      <c r="Z15" s="201"/>
      <c r="AA15" s="182"/>
      <c r="AB15" s="182"/>
      <c r="AC15" s="210"/>
      <c r="AD15" s="210"/>
      <c r="AE15" s="108">
        <f t="shared" si="6"/>
        <v>0</v>
      </c>
      <c r="AF15" s="182"/>
      <c r="AG15" s="182"/>
      <c r="AH15" s="202"/>
      <c r="AI15" s="203"/>
      <c r="AJ15" s="108">
        <f t="shared" si="7"/>
        <v>0</v>
      </c>
      <c r="AK15" s="301"/>
      <c r="AL15" s="124"/>
      <c r="AM15" s="124"/>
      <c r="AN15" s="16"/>
      <c r="AQ15" s="100"/>
      <c r="AR15" s="59"/>
      <c r="AS15" s="59"/>
      <c r="AT15" s="59"/>
      <c r="AU15" s="59"/>
      <c r="AV15" s="75"/>
      <c r="AW15" s="100"/>
    </row>
    <row r="16" spans="1:57" ht="19.5" thickBot="1" x14ac:dyDescent="0.35">
      <c r="A16" s="166">
        <v>44694</v>
      </c>
      <c r="B16" s="190"/>
      <c r="C16" s="179"/>
      <c r="D16" s="179"/>
      <c r="E16" s="175"/>
      <c r="F16" s="170">
        <f t="shared" si="3"/>
        <v>0</v>
      </c>
      <c r="G16" s="171">
        <f t="shared" si="4"/>
        <v>0</v>
      </c>
      <c r="H16" s="179"/>
      <c r="I16" s="191"/>
      <c r="J16" s="175"/>
      <c r="K16" s="192">
        <f t="shared" si="0"/>
        <v>0</v>
      </c>
      <c r="L16" s="193">
        <f t="shared" si="1"/>
        <v>0</v>
      </c>
      <c r="M16" s="209"/>
      <c r="N16" s="194"/>
      <c r="O16" s="195">
        <f t="shared" si="5"/>
        <v>250</v>
      </c>
      <c r="P16" s="196"/>
      <c r="Q16" s="219"/>
      <c r="R16" s="179"/>
      <c r="S16" s="180"/>
      <c r="T16" s="199"/>
      <c r="U16" s="124"/>
      <c r="V16" s="124"/>
      <c r="W16" s="135"/>
      <c r="X16" s="182">
        <v>14</v>
      </c>
      <c r="Y16" s="200"/>
      <c r="Z16" s="201"/>
      <c r="AA16" s="182"/>
      <c r="AB16" s="182"/>
      <c r="AC16" s="210"/>
      <c r="AD16" s="210"/>
      <c r="AE16" s="108">
        <f t="shared" si="6"/>
        <v>0</v>
      </c>
      <c r="AF16" s="182"/>
      <c r="AG16" s="182"/>
      <c r="AH16" s="202"/>
      <c r="AI16" s="203"/>
      <c r="AJ16" s="108">
        <f t="shared" si="7"/>
        <v>0</v>
      </c>
      <c r="AK16" s="301"/>
      <c r="AL16" s="124"/>
      <c r="AM16" s="124"/>
      <c r="AN16" s="16"/>
      <c r="AQ16" s="100"/>
      <c r="AR16" s="59"/>
      <c r="AS16" s="59"/>
      <c r="AT16" s="59"/>
      <c r="AU16" s="59"/>
      <c r="AV16" s="75"/>
      <c r="AW16" s="100"/>
    </row>
    <row r="17" spans="1:54" ht="19.5" thickBot="1" x14ac:dyDescent="0.35">
      <c r="A17" s="166">
        <v>44695</v>
      </c>
      <c r="B17" s="190"/>
      <c r="C17" s="179"/>
      <c r="D17" s="179"/>
      <c r="E17" s="175"/>
      <c r="F17" s="170">
        <f t="shared" si="3"/>
        <v>0</v>
      </c>
      <c r="G17" s="171">
        <f t="shared" si="4"/>
        <v>0</v>
      </c>
      <c r="H17" s="179"/>
      <c r="I17" s="191"/>
      <c r="J17" s="175"/>
      <c r="K17" s="192">
        <f t="shared" si="0"/>
        <v>0</v>
      </c>
      <c r="L17" s="193">
        <f t="shared" si="1"/>
        <v>0</v>
      </c>
      <c r="M17" s="209"/>
      <c r="N17" s="194"/>
      <c r="O17" s="195">
        <f>SUM(L17-M17-N17+O16+P17)</f>
        <v>250</v>
      </c>
      <c r="P17" s="196"/>
      <c r="Q17" s="218"/>
      <c r="R17" s="179"/>
      <c r="S17" s="180"/>
      <c r="T17" s="199"/>
      <c r="U17" s="124"/>
      <c r="V17" s="124"/>
      <c r="W17" s="135"/>
      <c r="X17" s="182">
        <v>15</v>
      </c>
      <c r="Y17" s="200"/>
      <c r="Z17" s="201"/>
      <c r="AA17" s="182"/>
      <c r="AB17" s="182"/>
      <c r="AC17" s="210"/>
      <c r="AD17" s="210"/>
      <c r="AE17" s="108">
        <f t="shared" si="6"/>
        <v>0</v>
      </c>
      <c r="AF17" s="182"/>
      <c r="AG17" s="216"/>
      <c r="AH17" s="202"/>
      <c r="AI17" s="203"/>
      <c r="AJ17" s="108">
        <f t="shared" si="7"/>
        <v>0</v>
      </c>
      <c r="AK17" s="301"/>
      <c r="AL17" s="124"/>
      <c r="AM17" s="124"/>
      <c r="AN17" s="16"/>
      <c r="AQ17" s="100"/>
      <c r="AR17" s="59"/>
      <c r="AS17" s="59"/>
      <c r="AT17" s="59"/>
      <c r="AU17" s="59"/>
      <c r="AV17" s="75"/>
      <c r="AW17" s="100"/>
    </row>
    <row r="18" spans="1:54" ht="19.5" thickBot="1" x14ac:dyDescent="0.35">
      <c r="A18" s="166">
        <v>44696</v>
      </c>
      <c r="B18" s="190"/>
      <c r="C18" s="179"/>
      <c r="D18" s="179"/>
      <c r="E18" s="175"/>
      <c r="F18" s="170">
        <f t="shared" si="3"/>
        <v>0</v>
      </c>
      <c r="G18" s="171">
        <f t="shared" si="4"/>
        <v>0</v>
      </c>
      <c r="H18" s="179"/>
      <c r="I18" s="191"/>
      <c r="J18" s="175"/>
      <c r="K18" s="192">
        <f t="shared" si="0"/>
        <v>0</v>
      </c>
      <c r="L18" s="193">
        <f t="shared" si="1"/>
        <v>0</v>
      </c>
      <c r="M18" s="174"/>
      <c r="N18" s="220"/>
      <c r="O18" s="195">
        <f>SUM(L18-M18-N18+O17+P18)</f>
        <v>250</v>
      </c>
      <c r="P18" s="196"/>
      <c r="Q18" s="218"/>
      <c r="R18" s="179"/>
      <c r="S18" s="180"/>
      <c r="T18" s="199"/>
      <c r="U18" s="124"/>
      <c r="V18" s="124"/>
      <c r="W18" s="135"/>
      <c r="X18" s="182">
        <v>16</v>
      </c>
      <c r="Y18" s="200"/>
      <c r="Z18" s="201"/>
      <c r="AA18" s="182"/>
      <c r="AB18" s="182"/>
      <c r="AC18" s="108"/>
      <c r="AD18" s="108"/>
      <c r="AE18" s="108">
        <f t="shared" si="6"/>
        <v>0</v>
      </c>
      <c r="AF18" s="182"/>
      <c r="AG18" s="182"/>
      <c r="AH18" s="202"/>
      <c r="AI18" s="203"/>
      <c r="AJ18" s="108">
        <f t="shared" si="7"/>
        <v>0</v>
      </c>
      <c r="AK18" s="301"/>
      <c r="AL18" s="124"/>
      <c r="AM18" s="124"/>
      <c r="AN18" s="16"/>
      <c r="AQ18" s="100"/>
      <c r="AR18" s="59"/>
      <c r="AS18" s="59"/>
      <c r="AT18" s="59"/>
      <c r="AU18" s="59"/>
      <c r="AV18" s="59"/>
      <c r="AW18" s="100"/>
    </row>
    <row r="19" spans="1:54" ht="19.5" thickBot="1" x14ac:dyDescent="0.35">
      <c r="A19" s="166">
        <v>44697</v>
      </c>
      <c r="B19" s="190"/>
      <c r="C19" s="179"/>
      <c r="D19" s="179"/>
      <c r="E19" s="175"/>
      <c r="F19" s="170">
        <f t="shared" si="3"/>
        <v>0</v>
      </c>
      <c r="G19" s="171">
        <f t="shared" si="4"/>
        <v>0</v>
      </c>
      <c r="H19" s="179"/>
      <c r="I19" s="191"/>
      <c r="J19" s="175"/>
      <c r="K19" s="192">
        <f t="shared" si="0"/>
        <v>0</v>
      </c>
      <c r="L19" s="193">
        <f t="shared" si="1"/>
        <v>0</v>
      </c>
      <c r="M19" s="174"/>
      <c r="N19" s="194"/>
      <c r="O19" s="195">
        <f>SUM(L19-M19-N19+O18+P19)</f>
        <v>250</v>
      </c>
      <c r="P19" s="196"/>
      <c r="Q19" s="218"/>
      <c r="R19" s="179"/>
      <c r="S19" s="180"/>
      <c r="T19" s="199"/>
      <c r="U19" s="124"/>
      <c r="V19" s="124"/>
      <c r="W19" s="135"/>
      <c r="X19" s="182">
        <v>17</v>
      </c>
      <c r="Y19" s="200"/>
      <c r="Z19" s="201"/>
      <c r="AA19" s="182"/>
      <c r="AB19" s="182"/>
      <c r="AC19" s="210"/>
      <c r="AD19" s="210"/>
      <c r="AE19" s="108">
        <f t="shared" si="6"/>
        <v>0</v>
      </c>
      <c r="AF19" s="208"/>
      <c r="AG19" s="182"/>
      <c r="AH19" s="202"/>
      <c r="AI19" s="203"/>
      <c r="AJ19" s="108">
        <f t="shared" si="7"/>
        <v>0</v>
      </c>
      <c r="AK19" s="301"/>
      <c r="AL19" s="124"/>
      <c r="AM19" s="124"/>
      <c r="AN19" s="16"/>
      <c r="AQ19" s="100"/>
      <c r="AR19" s="59"/>
      <c r="AS19" s="59"/>
      <c r="AT19" s="59"/>
      <c r="AU19" s="59"/>
      <c r="AV19" s="59"/>
      <c r="AW19" s="100"/>
    </row>
    <row r="20" spans="1:54" ht="19.5" thickBot="1" x14ac:dyDescent="0.35">
      <c r="A20" s="166">
        <v>44698</v>
      </c>
      <c r="B20" s="190"/>
      <c r="C20" s="179"/>
      <c r="D20" s="179"/>
      <c r="E20" s="175"/>
      <c r="F20" s="170">
        <f t="shared" si="3"/>
        <v>0</v>
      </c>
      <c r="G20" s="171">
        <f t="shared" si="4"/>
        <v>0</v>
      </c>
      <c r="H20" s="179"/>
      <c r="I20" s="191"/>
      <c r="J20" s="175"/>
      <c r="K20" s="192">
        <f t="shared" si="0"/>
        <v>0</v>
      </c>
      <c r="L20" s="193">
        <f t="shared" si="1"/>
        <v>0</v>
      </c>
      <c r="M20" s="174"/>
      <c r="N20" s="194"/>
      <c r="O20" s="195">
        <f>SUM(L20-M20-N20+O19+P20)</f>
        <v>250</v>
      </c>
      <c r="P20" s="196"/>
      <c r="Q20" s="218"/>
      <c r="R20" s="179"/>
      <c r="S20" s="180"/>
      <c r="T20" s="199"/>
      <c r="U20" s="124"/>
      <c r="V20" s="124"/>
      <c r="W20" s="135"/>
      <c r="X20" s="182">
        <v>18</v>
      </c>
      <c r="Y20" s="200"/>
      <c r="Z20" s="201"/>
      <c r="AA20" s="182"/>
      <c r="AB20" s="182"/>
      <c r="AC20" s="210"/>
      <c r="AD20" s="210"/>
      <c r="AE20" s="108">
        <f t="shared" si="6"/>
        <v>0</v>
      </c>
      <c r="AF20" s="182"/>
      <c r="AG20" s="216"/>
      <c r="AH20" s="202"/>
      <c r="AI20" s="203"/>
      <c r="AJ20" s="108">
        <f t="shared" si="7"/>
        <v>0</v>
      </c>
      <c r="AK20" s="301"/>
      <c r="AL20" s="124"/>
      <c r="AM20" s="124"/>
      <c r="AN20" s="22"/>
      <c r="AQ20" s="100"/>
      <c r="AR20" s="59"/>
      <c r="AS20" s="59"/>
      <c r="AT20" s="59"/>
      <c r="AU20" s="59"/>
      <c r="AV20" s="59"/>
      <c r="AW20" s="100"/>
    </row>
    <row r="21" spans="1:54" ht="19.5" thickBot="1" x14ac:dyDescent="0.35">
      <c r="A21" s="166">
        <v>44699</v>
      </c>
      <c r="B21" s="190"/>
      <c r="C21" s="179"/>
      <c r="D21" s="179"/>
      <c r="E21" s="175"/>
      <c r="F21" s="170">
        <f t="shared" si="3"/>
        <v>0</v>
      </c>
      <c r="G21" s="171">
        <f t="shared" si="4"/>
        <v>0</v>
      </c>
      <c r="H21" s="179"/>
      <c r="I21" s="191"/>
      <c r="J21" s="175"/>
      <c r="K21" s="192">
        <f t="shared" si="0"/>
        <v>0</v>
      </c>
      <c r="L21" s="193">
        <f t="shared" si="1"/>
        <v>0</v>
      </c>
      <c r="M21" s="174"/>
      <c r="N21" s="194"/>
      <c r="O21" s="195">
        <f t="shared" si="5"/>
        <v>250</v>
      </c>
      <c r="P21" s="196"/>
      <c r="Q21" s="218"/>
      <c r="R21" s="179"/>
      <c r="S21" s="180"/>
      <c r="T21" s="199"/>
      <c r="U21" s="124"/>
      <c r="V21" s="124"/>
      <c r="W21" s="135"/>
      <c r="X21" s="182">
        <v>19</v>
      </c>
      <c r="Y21" s="200"/>
      <c r="Z21" s="201"/>
      <c r="AA21" s="182"/>
      <c r="AB21" s="221"/>
      <c r="AC21" s="108"/>
      <c r="AD21" s="108"/>
      <c r="AE21" s="108">
        <f t="shared" si="6"/>
        <v>0</v>
      </c>
      <c r="AF21" s="182"/>
      <c r="AG21" s="182"/>
      <c r="AH21" s="202"/>
      <c r="AI21" s="203"/>
      <c r="AJ21" s="108">
        <f t="shared" si="7"/>
        <v>0</v>
      </c>
      <c r="AK21" s="301"/>
      <c r="AL21" s="124"/>
      <c r="AM21" s="124"/>
      <c r="AN21" s="22"/>
      <c r="AQ21" s="100"/>
      <c r="AR21" s="59"/>
      <c r="AS21" s="59"/>
      <c r="AT21" s="59"/>
      <c r="AU21" s="59"/>
      <c r="AV21" s="59"/>
      <c r="AW21" s="100"/>
    </row>
    <row r="22" spans="1:54" ht="19.5" thickBot="1" x14ac:dyDescent="0.35">
      <c r="A22" s="166">
        <v>44700</v>
      </c>
      <c r="B22" s="190"/>
      <c r="C22" s="179"/>
      <c r="D22" s="179"/>
      <c r="E22" s="175"/>
      <c r="F22" s="170">
        <f t="shared" si="3"/>
        <v>0</v>
      </c>
      <c r="G22" s="171">
        <f t="shared" si="4"/>
        <v>0</v>
      </c>
      <c r="H22" s="179"/>
      <c r="I22" s="191"/>
      <c r="J22" s="175"/>
      <c r="K22" s="192">
        <f t="shared" si="0"/>
        <v>0</v>
      </c>
      <c r="L22" s="193">
        <f t="shared" si="1"/>
        <v>0</v>
      </c>
      <c r="M22" s="174"/>
      <c r="N22" s="194"/>
      <c r="O22" s="195">
        <f t="shared" si="5"/>
        <v>250</v>
      </c>
      <c r="P22" s="196"/>
      <c r="Q22" s="218"/>
      <c r="R22" s="179"/>
      <c r="S22" s="180"/>
      <c r="T22" s="199"/>
      <c r="U22" s="124"/>
      <c r="V22" s="124"/>
      <c r="W22" s="135"/>
      <c r="X22" s="182">
        <v>20</v>
      </c>
      <c r="Y22" s="200"/>
      <c r="Z22" s="201"/>
      <c r="AA22" s="182"/>
      <c r="AB22" s="221"/>
      <c r="AC22" s="210"/>
      <c r="AD22" s="210"/>
      <c r="AE22" s="108">
        <f t="shared" si="6"/>
        <v>0</v>
      </c>
      <c r="AF22" s="182"/>
      <c r="AG22" s="182"/>
      <c r="AH22" s="202"/>
      <c r="AI22" s="203"/>
      <c r="AJ22" s="108">
        <f t="shared" si="7"/>
        <v>0</v>
      </c>
      <c r="AK22" s="301"/>
      <c r="AL22" s="124"/>
      <c r="AM22" s="124"/>
      <c r="AN22" s="16"/>
      <c r="AQ22" s="100"/>
      <c r="AR22" s="59"/>
      <c r="AS22" s="71"/>
      <c r="AT22" s="71"/>
      <c r="AU22" s="71"/>
      <c r="AV22" s="59"/>
      <c r="AW22" s="100"/>
    </row>
    <row r="23" spans="1:54" ht="19.5" thickBot="1" x14ac:dyDescent="0.35">
      <c r="A23" s="166">
        <v>44701</v>
      </c>
      <c r="B23" s="190"/>
      <c r="C23" s="179"/>
      <c r="D23" s="179"/>
      <c r="E23" s="175"/>
      <c r="F23" s="170">
        <f t="shared" si="3"/>
        <v>0</v>
      </c>
      <c r="G23" s="171">
        <f t="shared" si="4"/>
        <v>0</v>
      </c>
      <c r="H23" s="179"/>
      <c r="I23" s="191"/>
      <c r="J23" s="175"/>
      <c r="K23" s="192">
        <f t="shared" si="0"/>
        <v>0</v>
      </c>
      <c r="L23" s="193">
        <f t="shared" si="1"/>
        <v>0</v>
      </c>
      <c r="M23" s="174"/>
      <c r="N23" s="194"/>
      <c r="O23" s="195">
        <f t="shared" si="5"/>
        <v>250</v>
      </c>
      <c r="P23" s="196"/>
      <c r="Q23" s="211"/>
      <c r="R23" s="212"/>
      <c r="S23" s="180"/>
      <c r="T23" s="222"/>
      <c r="U23" s="124"/>
      <c r="V23" s="124"/>
      <c r="W23" s="135"/>
      <c r="X23" s="182">
        <v>21</v>
      </c>
      <c r="Y23" s="223"/>
      <c r="Z23" s="224"/>
      <c r="AA23" s="208"/>
      <c r="AB23" s="225"/>
      <c r="AC23" s="108"/>
      <c r="AD23" s="108"/>
      <c r="AE23" s="108">
        <f t="shared" si="6"/>
        <v>0</v>
      </c>
      <c r="AF23" s="208"/>
      <c r="AG23" s="226"/>
      <c r="AH23" s="202"/>
      <c r="AI23" s="203"/>
      <c r="AJ23" s="108">
        <f t="shared" si="7"/>
        <v>0</v>
      </c>
      <c r="AK23" s="301"/>
      <c r="AL23" s="124"/>
      <c r="AM23" s="124"/>
      <c r="AN23" s="16"/>
      <c r="AQ23" s="100"/>
      <c r="AR23" s="100"/>
      <c r="AS23" s="100"/>
      <c r="AT23" s="100"/>
      <c r="AU23" s="100"/>
      <c r="AV23" s="100"/>
      <c r="AW23" s="100"/>
    </row>
    <row r="24" spans="1:54" ht="19.5" thickBot="1" x14ac:dyDescent="0.35">
      <c r="A24" s="166">
        <v>44702</v>
      </c>
      <c r="B24" s="190"/>
      <c r="C24" s="179"/>
      <c r="D24" s="179"/>
      <c r="E24" s="175"/>
      <c r="F24" s="170">
        <f t="shared" si="3"/>
        <v>0</v>
      </c>
      <c r="G24" s="171">
        <f t="shared" si="4"/>
        <v>0</v>
      </c>
      <c r="H24" s="179"/>
      <c r="I24" s="191"/>
      <c r="J24" s="175"/>
      <c r="K24" s="192">
        <f t="shared" si="0"/>
        <v>0</v>
      </c>
      <c r="L24" s="193">
        <f t="shared" si="1"/>
        <v>0</v>
      </c>
      <c r="M24" s="209"/>
      <c r="N24" s="194"/>
      <c r="O24" s="195">
        <f>SUM(L24-M24-N24+O23+P24)</f>
        <v>250</v>
      </c>
      <c r="P24" s="196"/>
      <c r="Q24" s="211"/>
      <c r="R24" s="212"/>
      <c r="S24" s="180"/>
      <c r="T24" s="222"/>
      <c r="U24" s="124"/>
      <c r="V24" s="124"/>
      <c r="W24" s="135"/>
      <c r="X24" s="182">
        <v>22</v>
      </c>
      <c r="Y24" s="200"/>
      <c r="Z24" s="201"/>
      <c r="AA24" s="182"/>
      <c r="AB24" s="227"/>
      <c r="AC24" s="210"/>
      <c r="AD24" s="210"/>
      <c r="AE24" s="108">
        <f t="shared" si="6"/>
        <v>0</v>
      </c>
      <c r="AF24" s="182"/>
      <c r="AG24" s="226"/>
      <c r="AH24" s="202"/>
      <c r="AI24" s="203"/>
      <c r="AJ24" s="108">
        <f t="shared" si="7"/>
        <v>0</v>
      </c>
      <c r="AK24" s="301"/>
      <c r="AL24" s="124"/>
      <c r="AM24" s="124"/>
      <c r="AN24" s="16"/>
    </row>
    <row r="25" spans="1:54" ht="19.5" thickBot="1" x14ac:dyDescent="0.35">
      <c r="A25" s="166">
        <v>44703</v>
      </c>
      <c r="B25" s="190"/>
      <c r="C25" s="179"/>
      <c r="D25" s="179"/>
      <c r="E25" s="175"/>
      <c r="F25" s="170">
        <f t="shared" si="3"/>
        <v>0</v>
      </c>
      <c r="G25" s="171">
        <f t="shared" si="4"/>
        <v>0</v>
      </c>
      <c r="H25" s="179"/>
      <c r="I25" s="191"/>
      <c r="J25" s="175"/>
      <c r="K25" s="192">
        <f t="shared" si="0"/>
        <v>0</v>
      </c>
      <c r="L25" s="193">
        <f t="shared" si="1"/>
        <v>0</v>
      </c>
      <c r="M25" s="174"/>
      <c r="N25" s="194"/>
      <c r="O25" s="195">
        <f t="shared" si="5"/>
        <v>250</v>
      </c>
      <c r="P25" s="196"/>
      <c r="Q25" s="178"/>
      <c r="R25" s="179"/>
      <c r="S25" s="180"/>
      <c r="T25" s="181"/>
      <c r="U25" s="124"/>
      <c r="V25" s="124"/>
      <c r="W25" s="135"/>
      <c r="X25" s="182">
        <v>26</v>
      </c>
      <c r="Y25" s="223"/>
      <c r="Z25" s="224"/>
      <c r="AA25" s="208"/>
      <c r="AB25" s="228"/>
      <c r="AC25" s="210"/>
      <c r="AD25" s="210"/>
      <c r="AE25" s="108">
        <f t="shared" si="6"/>
        <v>0</v>
      </c>
      <c r="AF25" s="208"/>
      <c r="AG25" s="226"/>
      <c r="AH25" s="202"/>
      <c r="AI25" s="203"/>
      <c r="AJ25" s="108">
        <f t="shared" si="7"/>
        <v>0</v>
      </c>
      <c r="AK25" s="301"/>
      <c r="AL25" s="124"/>
      <c r="AM25" s="124"/>
      <c r="AN25" s="16"/>
      <c r="AW25" s="2"/>
    </row>
    <row r="26" spans="1:54" ht="19.5" thickBot="1" x14ac:dyDescent="0.35">
      <c r="A26" s="166">
        <v>44704</v>
      </c>
      <c r="B26" s="190"/>
      <c r="C26" s="179"/>
      <c r="D26" s="179"/>
      <c r="E26" s="175"/>
      <c r="F26" s="170">
        <f t="shared" si="3"/>
        <v>0</v>
      </c>
      <c r="G26" s="171">
        <f t="shared" si="4"/>
        <v>0</v>
      </c>
      <c r="H26" s="179"/>
      <c r="I26" s="191"/>
      <c r="J26" s="175"/>
      <c r="K26" s="192">
        <f t="shared" si="0"/>
        <v>0</v>
      </c>
      <c r="L26" s="193">
        <f t="shared" si="1"/>
        <v>0</v>
      </c>
      <c r="M26" s="174"/>
      <c r="N26" s="194"/>
      <c r="O26" s="195">
        <f t="shared" si="5"/>
        <v>250</v>
      </c>
      <c r="P26" s="196"/>
      <c r="Q26" s="178"/>
      <c r="R26" s="179"/>
      <c r="S26" s="180"/>
      <c r="T26" s="222"/>
      <c r="U26" s="124"/>
      <c r="V26" s="124"/>
      <c r="W26" s="135"/>
      <c r="X26" s="182">
        <v>27</v>
      </c>
      <c r="Y26" s="223"/>
      <c r="Z26" s="224"/>
      <c r="AA26" s="208"/>
      <c r="AB26" s="228"/>
      <c r="AC26" s="210"/>
      <c r="AD26" s="210"/>
      <c r="AE26" s="108">
        <f t="shared" si="6"/>
        <v>0</v>
      </c>
      <c r="AF26" s="208"/>
      <c r="AG26" s="226"/>
      <c r="AH26" s="202"/>
      <c r="AI26" s="203"/>
      <c r="AJ26" s="108">
        <f t="shared" si="7"/>
        <v>0</v>
      </c>
      <c r="AK26" s="301"/>
      <c r="AL26" s="124"/>
      <c r="AM26" s="124"/>
      <c r="AN26" s="16"/>
      <c r="AW26" s="2"/>
      <c r="AY26" s="2"/>
    </row>
    <row r="27" spans="1:54" ht="19.5" thickBot="1" x14ac:dyDescent="0.35">
      <c r="A27" s="166">
        <v>44705</v>
      </c>
      <c r="B27" s="190"/>
      <c r="C27" s="179"/>
      <c r="D27" s="179"/>
      <c r="E27" s="175"/>
      <c r="F27" s="170">
        <f t="shared" si="3"/>
        <v>0</v>
      </c>
      <c r="G27" s="171">
        <f t="shared" si="4"/>
        <v>0</v>
      </c>
      <c r="H27" s="179"/>
      <c r="I27" s="191"/>
      <c r="J27" s="175"/>
      <c r="K27" s="192">
        <f t="shared" si="0"/>
        <v>0</v>
      </c>
      <c r="L27" s="193">
        <f t="shared" si="1"/>
        <v>0</v>
      </c>
      <c r="M27" s="209"/>
      <c r="N27" s="194"/>
      <c r="O27" s="195">
        <f t="shared" si="5"/>
        <v>250</v>
      </c>
      <c r="P27" s="196"/>
      <c r="Q27" s="178"/>
      <c r="R27" s="179"/>
      <c r="S27" s="180"/>
      <c r="T27" s="222"/>
      <c r="U27" s="124"/>
      <c r="V27" s="124"/>
      <c r="W27" s="135"/>
      <c r="X27" s="182">
        <v>28</v>
      </c>
      <c r="Y27" s="200"/>
      <c r="Z27" s="201"/>
      <c r="AA27" s="182"/>
      <c r="AB27" s="182"/>
      <c r="AC27" s="210"/>
      <c r="AD27" s="210"/>
      <c r="AE27" s="108">
        <f t="shared" si="6"/>
        <v>0</v>
      </c>
      <c r="AF27" s="182"/>
      <c r="AG27" s="182"/>
      <c r="AH27" s="202"/>
      <c r="AI27" s="203"/>
      <c r="AJ27" s="108">
        <f t="shared" si="7"/>
        <v>0</v>
      </c>
      <c r="AK27" s="301"/>
      <c r="AL27" s="124"/>
      <c r="AM27" s="124"/>
      <c r="AN27" s="16"/>
      <c r="AR27" s="2"/>
      <c r="AS27" s="2"/>
      <c r="AT27" s="2"/>
      <c r="AU27" s="2"/>
      <c r="AV27" s="2"/>
      <c r="AW27" s="2"/>
      <c r="AY27" s="2"/>
      <c r="AZ27" s="2"/>
      <c r="BA27" s="2"/>
      <c r="BB27" s="2"/>
    </row>
    <row r="28" spans="1:54" ht="19.5" thickBot="1" x14ac:dyDescent="0.35">
      <c r="A28" s="166">
        <v>44706</v>
      </c>
      <c r="B28" s="190"/>
      <c r="C28" s="179"/>
      <c r="D28" s="179"/>
      <c r="E28" s="175"/>
      <c r="F28" s="170">
        <f t="shared" si="3"/>
        <v>0</v>
      </c>
      <c r="G28" s="171">
        <f t="shared" si="4"/>
        <v>0</v>
      </c>
      <c r="H28" s="179"/>
      <c r="I28" s="191"/>
      <c r="J28" s="175"/>
      <c r="K28" s="192">
        <f t="shared" si="0"/>
        <v>0</v>
      </c>
      <c r="L28" s="193">
        <f t="shared" si="1"/>
        <v>0</v>
      </c>
      <c r="M28" s="174"/>
      <c r="N28" s="194"/>
      <c r="O28" s="195">
        <f>SUM(L28-M28-N28+O27+P28)</f>
        <v>250</v>
      </c>
      <c r="P28" s="196"/>
      <c r="Q28" s="178"/>
      <c r="R28" s="179"/>
      <c r="S28" s="180"/>
      <c r="T28" s="222"/>
      <c r="U28" s="124"/>
      <c r="V28" s="124"/>
      <c r="W28" s="135"/>
      <c r="X28" s="182">
        <v>29</v>
      </c>
      <c r="Y28" s="200"/>
      <c r="Z28" s="201"/>
      <c r="AA28" s="182"/>
      <c r="AB28" s="182"/>
      <c r="AC28" s="210"/>
      <c r="AD28" s="210"/>
      <c r="AE28" s="108">
        <f t="shared" si="6"/>
        <v>0</v>
      </c>
      <c r="AF28" s="182"/>
      <c r="AG28" s="182"/>
      <c r="AH28" s="202"/>
      <c r="AI28" s="203"/>
      <c r="AJ28" s="108">
        <f t="shared" si="7"/>
        <v>0</v>
      </c>
      <c r="AK28" s="163"/>
      <c r="AL28" s="124"/>
      <c r="AM28" s="124"/>
      <c r="AN28" s="16"/>
      <c r="AR28" s="92"/>
      <c r="AS28" s="11"/>
      <c r="AT28" s="11"/>
      <c r="AU28" s="11"/>
      <c r="AV28" s="2"/>
      <c r="AW28" s="2"/>
      <c r="AY28" s="2"/>
      <c r="AZ28" s="2"/>
      <c r="BA28" s="12"/>
      <c r="BB28" s="2"/>
    </row>
    <row r="29" spans="1:54" ht="19.5" thickBot="1" x14ac:dyDescent="0.35">
      <c r="A29" s="166">
        <v>44707</v>
      </c>
      <c r="B29" s="190"/>
      <c r="C29" s="179"/>
      <c r="D29" s="179"/>
      <c r="E29" s="175"/>
      <c r="F29" s="170">
        <f t="shared" si="3"/>
        <v>0</v>
      </c>
      <c r="G29" s="171">
        <f t="shared" si="4"/>
        <v>0</v>
      </c>
      <c r="H29" s="179"/>
      <c r="I29" s="191"/>
      <c r="J29" s="175"/>
      <c r="K29" s="192">
        <f t="shared" si="0"/>
        <v>0</v>
      </c>
      <c r="L29" s="193">
        <f t="shared" si="1"/>
        <v>0</v>
      </c>
      <c r="M29" s="174"/>
      <c r="N29" s="194"/>
      <c r="O29" s="195">
        <f t="shared" si="5"/>
        <v>250</v>
      </c>
      <c r="P29" s="135"/>
      <c r="Q29" s="178"/>
      <c r="R29" s="179"/>
      <c r="S29" s="180"/>
      <c r="T29" s="222"/>
      <c r="U29" s="124"/>
      <c r="V29" s="124"/>
      <c r="W29" s="135"/>
      <c r="X29" s="182">
        <v>30</v>
      </c>
      <c r="Y29" s="200"/>
      <c r="Z29" s="201"/>
      <c r="AA29" s="182"/>
      <c r="AB29" s="182"/>
      <c r="AC29" s="108"/>
      <c r="AD29" s="108"/>
      <c r="AE29" s="108">
        <f t="shared" si="6"/>
        <v>0</v>
      </c>
      <c r="AF29" s="182"/>
      <c r="AG29" s="182"/>
      <c r="AH29" s="202"/>
      <c r="AI29" s="203"/>
      <c r="AJ29" s="108">
        <f t="shared" si="7"/>
        <v>0</v>
      </c>
      <c r="AK29" s="163"/>
      <c r="AL29" s="124"/>
      <c r="AM29" s="124"/>
      <c r="AN29" s="22"/>
      <c r="AR29" s="92"/>
      <c r="AS29" s="11"/>
      <c r="AT29" s="11"/>
      <c r="AU29" s="11"/>
      <c r="AV29" s="2"/>
      <c r="AW29" s="2"/>
      <c r="AY29" s="12"/>
      <c r="AZ29" s="2"/>
      <c r="BA29" s="12"/>
      <c r="BB29" s="2"/>
    </row>
    <row r="30" spans="1:54" ht="19.5" thickBot="1" x14ac:dyDescent="0.35">
      <c r="A30" s="166">
        <v>44708</v>
      </c>
      <c r="B30" s="229"/>
      <c r="C30" s="179"/>
      <c r="D30" s="179"/>
      <c r="E30" s="175"/>
      <c r="F30" s="170">
        <f t="shared" si="3"/>
        <v>0</v>
      </c>
      <c r="G30" s="171">
        <f t="shared" si="4"/>
        <v>0</v>
      </c>
      <c r="H30" s="179"/>
      <c r="I30" s="191"/>
      <c r="J30" s="175"/>
      <c r="K30" s="192">
        <f t="shared" si="0"/>
        <v>0</v>
      </c>
      <c r="L30" s="193">
        <f t="shared" si="1"/>
        <v>0</v>
      </c>
      <c r="M30" s="209"/>
      <c r="N30" s="194"/>
      <c r="O30" s="195">
        <f>SUM(L30-M30-N30+O29+P30)</f>
        <v>250</v>
      </c>
      <c r="P30" s="135"/>
      <c r="Q30" s="178"/>
      <c r="R30" s="179"/>
      <c r="S30" s="230"/>
      <c r="T30" s="222"/>
      <c r="U30" s="124"/>
      <c r="V30" s="124"/>
      <c r="W30" s="135"/>
      <c r="X30" s="24"/>
      <c r="Y30" s="160"/>
      <c r="Z30" s="161"/>
      <c r="AA30" s="24"/>
      <c r="AB30" s="24"/>
      <c r="AC30" s="231" t="s">
        <v>16</v>
      </c>
      <c r="AD30" s="231">
        <f>SUM(AD3:AD29)</f>
        <v>0</v>
      </c>
      <c r="AE30" s="163"/>
      <c r="AF30" s="232"/>
      <c r="AG30" s="24"/>
      <c r="AH30" s="233"/>
      <c r="AI30" s="165"/>
      <c r="AJ30" s="163"/>
      <c r="AK30" s="163"/>
      <c r="AL30" s="124"/>
      <c r="AM30" s="124"/>
      <c r="AN30" s="22"/>
      <c r="AR30" s="92"/>
      <c r="AS30" s="11"/>
      <c r="AT30" s="11"/>
      <c r="AU30" s="11"/>
      <c r="AV30" s="2"/>
      <c r="AW30" s="2"/>
      <c r="AY30" s="12"/>
      <c r="AZ30" s="2"/>
      <c r="BA30" s="12"/>
      <c r="BB30" s="2"/>
    </row>
    <row r="31" spans="1:54" ht="19.5" thickBot="1" x14ac:dyDescent="0.35">
      <c r="A31" s="166">
        <v>44709</v>
      </c>
      <c r="B31" s="234"/>
      <c r="C31" s="235"/>
      <c r="D31" s="236"/>
      <c r="E31" s="175"/>
      <c r="F31" s="170">
        <f t="shared" si="3"/>
        <v>0</v>
      </c>
      <c r="G31" s="171">
        <f t="shared" si="4"/>
        <v>0</v>
      </c>
      <c r="H31" s="179"/>
      <c r="I31" s="191"/>
      <c r="J31" s="237"/>
      <c r="K31" s="192">
        <f t="shared" si="0"/>
        <v>0</v>
      </c>
      <c r="L31" s="193">
        <f t="shared" si="1"/>
        <v>0</v>
      </c>
      <c r="M31" s="174"/>
      <c r="N31" s="194"/>
      <c r="O31" s="238">
        <f t="shared" si="5"/>
        <v>250</v>
      </c>
      <c r="P31" s="239" t="s">
        <v>9</v>
      </c>
      <c r="Q31" s="178"/>
      <c r="R31" s="179"/>
      <c r="S31" s="230"/>
      <c r="T31" s="222"/>
      <c r="U31" s="124"/>
      <c r="V31" s="124"/>
      <c r="W31" s="135"/>
      <c r="X31" s="24"/>
      <c r="Y31" s="160"/>
      <c r="Z31" s="161"/>
      <c r="AA31" s="24"/>
      <c r="AB31" s="24"/>
      <c r="AC31" s="163"/>
      <c r="AD31" s="163"/>
      <c r="AE31" s="163"/>
      <c r="AF31" s="24"/>
      <c r="AG31" s="24"/>
      <c r="AH31" s="233"/>
      <c r="AI31" s="165"/>
      <c r="AJ31" s="163"/>
      <c r="AK31" s="301"/>
      <c r="AL31" s="124"/>
      <c r="AM31" s="124"/>
      <c r="AN31" s="22"/>
      <c r="AR31" s="92"/>
      <c r="AS31" s="11"/>
      <c r="AT31" s="11"/>
      <c r="AU31" s="11"/>
      <c r="AV31" s="2"/>
      <c r="AW31" s="2"/>
      <c r="AY31" s="2"/>
      <c r="AZ31" s="2"/>
      <c r="BA31" s="12"/>
      <c r="BB31" s="2"/>
    </row>
    <row r="32" spans="1:54" ht="19.5" thickBot="1" x14ac:dyDescent="0.35">
      <c r="A32" s="166">
        <v>44710</v>
      </c>
      <c r="B32" s="190"/>
      <c r="C32" s="179"/>
      <c r="D32" s="179"/>
      <c r="E32" s="175"/>
      <c r="F32" s="170">
        <f t="shared" si="3"/>
        <v>0</v>
      </c>
      <c r="G32" s="171">
        <f t="shared" si="4"/>
        <v>0</v>
      </c>
      <c r="H32" s="179"/>
      <c r="I32" s="191"/>
      <c r="J32" s="175"/>
      <c r="K32" s="192">
        <f t="shared" si="0"/>
        <v>0</v>
      </c>
      <c r="L32" s="193">
        <f t="shared" si="1"/>
        <v>0</v>
      </c>
      <c r="M32" s="240"/>
      <c r="N32" s="194"/>
      <c r="O32" s="238">
        <f t="shared" si="5"/>
        <v>250</v>
      </c>
      <c r="P32" s="241" t="s">
        <v>10</v>
      </c>
      <c r="Q32" s="242"/>
      <c r="R32" s="179"/>
      <c r="S32" s="230"/>
      <c r="T32" s="222"/>
      <c r="U32" s="124"/>
      <c r="V32" s="124"/>
      <c r="W32" s="135"/>
      <c r="X32" s="24"/>
      <c r="Y32" s="160"/>
      <c r="Z32" s="161"/>
      <c r="AA32" s="182" t="s">
        <v>17</v>
      </c>
      <c r="AB32" s="24"/>
      <c r="AC32" s="244"/>
      <c r="AD32" s="244"/>
      <c r="AE32" s="163"/>
      <c r="AF32" s="24"/>
      <c r="AG32" s="24"/>
      <c r="AH32" s="233"/>
      <c r="AI32" s="165"/>
      <c r="AJ32" s="163"/>
      <c r="AK32" s="163"/>
      <c r="AL32" s="303" t="s">
        <v>31</v>
      </c>
      <c r="AM32" s="304"/>
      <c r="AN32" s="36"/>
      <c r="AR32" s="2"/>
      <c r="AS32" s="11"/>
      <c r="AT32" s="11"/>
      <c r="AU32" s="11"/>
      <c r="AV32" s="2"/>
      <c r="AW32" s="2"/>
      <c r="AY32" s="2"/>
      <c r="AZ32" s="2"/>
      <c r="BA32" s="2"/>
      <c r="BB32" s="2"/>
    </row>
    <row r="33" spans="1:54" ht="19.5" thickBot="1" x14ac:dyDescent="0.35">
      <c r="A33" s="166">
        <v>44711</v>
      </c>
      <c r="B33" s="245"/>
      <c r="C33" s="246"/>
      <c r="D33" s="246"/>
      <c r="E33" s="247"/>
      <c r="F33" s="170">
        <f t="shared" si="3"/>
        <v>0</v>
      </c>
      <c r="G33" s="171">
        <f t="shared" si="4"/>
        <v>0</v>
      </c>
      <c r="H33" s="248"/>
      <c r="I33" s="248"/>
      <c r="J33" s="247"/>
      <c r="K33" s="249">
        <f t="shared" si="0"/>
        <v>0</v>
      </c>
      <c r="L33" s="250">
        <f t="shared" si="1"/>
        <v>0</v>
      </c>
      <c r="M33" s="251"/>
      <c r="N33" s="252"/>
      <c r="O33" s="253">
        <f t="shared" si="5"/>
        <v>250</v>
      </c>
      <c r="P33" s="254">
        <f>SUM(O33)</f>
        <v>250</v>
      </c>
      <c r="Q33" s="255"/>
      <c r="R33" s="246"/>
      <c r="S33" s="256"/>
      <c r="T33" s="257"/>
      <c r="U33" s="124"/>
      <c r="V33" s="124"/>
      <c r="W33" s="135"/>
      <c r="X33" s="182">
        <v>1</v>
      </c>
      <c r="Y33" s="200"/>
      <c r="Z33" s="201"/>
      <c r="AA33" s="182"/>
      <c r="AB33" s="182"/>
      <c r="AC33" s="258"/>
      <c r="AD33" s="210"/>
      <c r="AE33" s="108">
        <f t="shared" ref="AE33:AE45" si="8">SUM(AC33:AD33)</f>
        <v>0</v>
      </c>
      <c r="AF33" s="182"/>
      <c r="AG33" s="182"/>
      <c r="AH33" s="202"/>
      <c r="AI33" s="203"/>
      <c r="AJ33" s="108">
        <f>AE33</f>
        <v>0</v>
      </c>
      <c r="AK33" s="163"/>
      <c r="AL33" s="258">
        <f t="shared" ref="AL33:AL63" si="9">AC33</f>
        <v>0</v>
      </c>
      <c r="AM33" s="305">
        <v>1</v>
      </c>
      <c r="AN33" s="16"/>
      <c r="AR33" s="92"/>
      <c r="AS33" s="11"/>
      <c r="AT33" s="11"/>
      <c r="AU33" s="11"/>
      <c r="AV33" s="2"/>
      <c r="AW33" s="2"/>
      <c r="AY33" s="2"/>
      <c r="AZ33" s="2"/>
      <c r="BA33" s="2"/>
      <c r="BB33" s="2"/>
    </row>
    <row r="34" spans="1:54" ht="19.5" thickBot="1" x14ac:dyDescent="0.35">
      <c r="A34" s="124"/>
      <c r="B34" s="259">
        <f>SUM(B5:B33)</f>
        <v>0</v>
      </c>
      <c r="C34" s="260">
        <f t="shared" ref="C34:N34" si="10">SUM(C3:C33)</f>
        <v>0</v>
      </c>
      <c r="D34" s="261">
        <f t="shared" si="10"/>
        <v>0</v>
      </c>
      <c r="E34" s="261">
        <f t="shared" si="10"/>
        <v>0</v>
      </c>
      <c r="F34" s="262">
        <f t="shared" si="10"/>
        <v>0</v>
      </c>
      <c r="G34" s="263"/>
      <c r="H34" s="263">
        <f>SUM(H3:H33)</f>
        <v>0</v>
      </c>
      <c r="I34" s="263"/>
      <c r="J34" s="263">
        <f t="shared" si="10"/>
        <v>0</v>
      </c>
      <c r="K34" s="264">
        <f t="shared" si="10"/>
        <v>0</v>
      </c>
      <c r="L34" s="265">
        <f t="shared" si="10"/>
        <v>0</v>
      </c>
      <c r="M34" s="266">
        <f t="shared" si="10"/>
        <v>0</v>
      </c>
      <c r="N34" s="267">
        <f t="shared" si="10"/>
        <v>0</v>
      </c>
      <c r="O34" s="135"/>
      <c r="P34" s="135"/>
      <c r="Q34" s="124"/>
      <c r="R34" s="135"/>
      <c r="S34" s="124"/>
      <c r="T34" s="124"/>
      <c r="U34" s="124"/>
      <c r="V34" s="124"/>
      <c r="W34" s="135"/>
      <c r="X34" s="182">
        <v>2</v>
      </c>
      <c r="Y34" s="217"/>
      <c r="Z34" s="201"/>
      <c r="AA34" s="182"/>
      <c r="AB34" s="182"/>
      <c r="AC34" s="258"/>
      <c r="AD34" s="210"/>
      <c r="AE34" s="108">
        <f t="shared" si="8"/>
        <v>0</v>
      </c>
      <c r="AF34" s="182"/>
      <c r="AG34" s="216"/>
      <c r="AH34" s="202"/>
      <c r="AI34" s="203"/>
      <c r="AJ34" s="108">
        <f>AE34</f>
        <v>0</v>
      </c>
      <c r="AK34" s="163"/>
      <c r="AL34" s="258">
        <f t="shared" si="9"/>
        <v>0</v>
      </c>
      <c r="AM34" s="221">
        <v>2</v>
      </c>
      <c r="AN34" s="16"/>
      <c r="AR34" s="2"/>
      <c r="AS34" s="11"/>
      <c r="AT34" s="11"/>
      <c r="AU34" s="11"/>
      <c r="AV34" s="2"/>
      <c r="AW34" s="2"/>
      <c r="AY34" s="2"/>
      <c r="AZ34" s="2"/>
      <c r="BA34" s="2"/>
      <c r="BB34" s="2"/>
    </row>
    <row r="35" spans="1:54" ht="19.5" thickBot="1" x14ac:dyDescent="0.35">
      <c r="A35" s="269" t="s">
        <v>15</v>
      </c>
      <c r="B35" s="270">
        <f>SUM(B3:B33)</f>
        <v>0</v>
      </c>
      <c r="C35" s="270">
        <f>SUM(C34/1.06)</f>
        <v>0</v>
      </c>
      <c r="D35" s="270">
        <f>SUM(D34/1.12)</f>
        <v>0</v>
      </c>
      <c r="E35" s="270">
        <f>SUM(E34/1.21)</f>
        <v>0</v>
      </c>
      <c r="F35" s="270">
        <f>SUM(B35:E35)</f>
        <v>0</v>
      </c>
      <c r="G35" s="271">
        <f>SUM(G34:G34)</f>
        <v>0</v>
      </c>
      <c r="H35" s="135"/>
      <c r="I35" s="135"/>
      <c r="J35" s="179"/>
      <c r="K35" s="272"/>
      <c r="L35" s="273" t="s">
        <v>82</v>
      </c>
      <c r="M35" s="274"/>
      <c r="N35" s="275">
        <f>SUM(M34:N34)</f>
        <v>0</v>
      </c>
      <c r="O35" s="135"/>
      <c r="P35" s="135"/>
      <c r="Q35" s="124"/>
      <c r="R35" s="135"/>
      <c r="S35" s="124"/>
      <c r="T35" s="124"/>
      <c r="U35" s="124"/>
      <c r="V35" s="124"/>
      <c r="W35" s="135"/>
      <c r="X35" s="182">
        <v>3</v>
      </c>
      <c r="Y35" s="200"/>
      <c r="Z35" s="201"/>
      <c r="AA35" s="182"/>
      <c r="AB35" s="182"/>
      <c r="AC35" s="258"/>
      <c r="AD35" s="210"/>
      <c r="AE35" s="108">
        <f t="shared" si="8"/>
        <v>0</v>
      </c>
      <c r="AF35" s="182"/>
      <c r="AG35" s="182"/>
      <c r="AH35" s="202"/>
      <c r="AI35" s="203"/>
      <c r="AJ35" s="108">
        <f>AE35</f>
        <v>0</v>
      </c>
      <c r="AK35" s="163"/>
      <c r="AL35" s="258">
        <f t="shared" si="9"/>
        <v>0</v>
      </c>
      <c r="AM35" s="221">
        <v>3</v>
      </c>
      <c r="AN35" s="16"/>
      <c r="AR35" s="2"/>
      <c r="AS35" s="11"/>
      <c r="AT35" s="11"/>
      <c r="AU35" s="11"/>
      <c r="AV35" s="12"/>
      <c r="AW35" s="2"/>
      <c r="AY35" s="2"/>
      <c r="AZ35" s="2"/>
      <c r="BA35" s="2"/>
      <c r="BB35" s="2"/>
    </row>
    <row r="36" spans="1:54" ht="18.75" x14ac:dyDescent="0.3">
      <c r="A36" s="269" t="s">
        <v>16</v>
      </c>
      <c r="B36" s="276"/>
      <c r="C36" s="270">
        <f>SUM(C34-C35)</f>
        <v>0</v>
      </c>
      <c r="D36" s="270">
        <f>SUM(D34-D35)</f>
        <v>0</v>
      </c>
      <c r="E36" s="270">
        <f>SUM(E34-E35)</f>
        <v>0</v>
      </c>
      <c r="F36" s="270">
        <f>SUM(C36:E36)</f>
        <v>0</v>
      </c>
      <c r="G36" s="135"/>
      <c r="H36" s="135"/>
      <c r="I36" s="135"/>
      <c r="J36" s="135"/>
      <c r="K36" s="135"/>
      <c r="L36" s="135"/>
      <c r="M36" s="135"/>
      <c r="N36" s="135"/>
      <c r="O36" s="135"/>
      <c r="P36" s="135"/>
      <c r="Q36" s="124"/>
      <c r="R36" s="135"/>
      <c r="S36" s="124"/>
      <c r="T36" s="124"/>
      <c r="U36" s="124"/>
      <c r="V36" s="124"/>
      <c r="W36" s="135"/>
      <c r="X36" s="182">
        <v>4</v>
      </c>
      <c r="Y36" s="317"/>
      <c r="Z36" s="318"/>
      <c r="AA36" s="319"/>
      <c r="AB36" s="319"/>
      <c r="AC36" s="277"/>
      <c r="AD36" s="314"/>
      <c r="AE36" s="314">
        <f t="shared" si="8"/>
        <v>0</v>
      </c>
      <c r="AF36" s="319"/>
      <c r="AG36" s="319"/>
      <c r="AH36" s="315"/>
      <c r="AI36" s="316"/>
      <c r="AJ36" s="314">
        <v>0</v>
      </c>
      <c r="AK36" s="306"/>
      <c r="AL36" s="258">
        <f t="shared" si="9"/>
        <v>0</v>
      </c>
      <c r="AM36" s="221">
        <v>4</v>
      </c>
      <c r="AN36" s="16"/>
      <c r="AR36" s="12"/>
      <c r="AS36" s="11"/>
      <c r="AT36" s="11"/>
      <c r="AU36" s="11"/>
      <c r="AV36" s="12"/>
      <c r="AW36" s="2"/>
      <c r="AY36" s="2"/>
      <c r="AZ36" s="2"/>
      <c r="BA36" s="2"/>
      <c r="BB36" s="2"/>
    </row>
    <row r="37" spans="1:54" ht="18.75" x14ac:dyDescent="0.3">
      <c r="A37" s="124"/>
      <c r="B37" s="124"/>
      <c r="C37" s="124"/>
      <c r="D37" s="124"/>
      <c r="E37" s="124"/>
      <c r="F37" s="124"/>
      <c r="G37" s="124"/>
      <c r="H37" s="124"/>
      <c r="I37" s="124"/>
      <c r="J37" s="124"/>
      <c r="K37" s="124"/>
      <c r="L37" s="124"/>
      <c r="M37" s="124"/>
      <c r="N37" s="124"/>
      <c r="O37" s="124"/>
      <c r="P37" s="124"/>
      <c r="Q37" s="159"/>
      <c r="R37" s="135"/>
      <c r="S37" s="124"/>
      <c r="T37" s="124"/>
      <c r="U37" s="124"/>
      <c r="V37" s="124"/>
      <c r="W37" s="135"/>
      <c r="X37" s="182">
        <v>5</v>
      </c>
      <c r="Y37" s="321"/>
      <c r="Z37" s="318"/>
      <c r="AA37" s="319"/>
      <c r="AB37" s="322"/>
      <c r="AC37" s="258"/>
      <c r="AD37" s="313"/>
      <c r="AE37" s="314">
        <f t="shared" si="8"/>
        <v>0</v>
      </c>
      <c r="AF37" s="319"/>
      <c r="AG37" s="323"/>
      <c r="AH37" s="315"/>
      <c r="AI37" s="316"/>
      <c r="AJ37" s="314">
        <f>AE37</f>
        <v>0</v>
      </c>
      <c r="AK37" s="301"/>
      <c r="AL37" s="258">
        <f t="shared" si="9"/>
        <v>0</v>
      </c>
      <c r="AM37" s="221">
        <v>5</v>
      </c>
      <c r="AN37" s="22"/>
      <c r="AR37" s="12"/>
      <c r="AS37" s="11"/>
      <c r="AT37" s="11"/>
      <c r="AU37" s="11"/>
      <c r="AV37" s="12"/>
      <c r="AW37" s="2"/>
    </row>
    <row r="38" spans="1:54" ht="18.75" x14ac:dyDescent="0.3">
      <c r="A38" s="124"/>
      <c r="B38" s="124"/>
      <c r="C38" s="124"/>
      <c r="D38" s="124"/>
      <c r="E38" s="124"/>
      <c r="F38" s="124"/>
      <c r="G38" s="124"/>
      <c r="H38" s="124"/>
      <c r="I38" s="124"/>
      <c r="J38" s="124"/>
      <c r="K38" s="124"/>
      <c r="L38" s="124"/>
      <c r="M38" s="124"/>
      <c r="N38" s="124"/>
      <c r="O38" s="124"/>
      <c r="P38" s="124"/>
      <c r="Q38" s="124"/>
      <c r="R38" s="135"/>
      <c r="S38" s="124"/>
      <c r="T38" s="124"/>
      <c r="U38" s="124"/>
      <c r="V38" s="124"/>
      <c r="W38" s="135"/>
      <c r="X38" s="182">
        <v>6</v>
      </c>
      <c r="Y38" s="317"/>
      <c r="Z38" s="318"/>
      <c r="AA38" s="319"/>
      <c r="AB38" s="319"/>
      <c r="AC38" s="277"/>
      <c r="AD38" s="314"/>
      <c r="AE38" s="314">
        <f t="shared" si="8"/>
        <v>0</v>
      </c>
      <c r="AF38" s="319"/>
      <c r="AG38" s="323"/>
      <c r="AH38" s="315"/>
      <c r="AI38" s="316"/>
      <c r="AJ38" s="314">
        <v>0</v>
      </c>
      <c r="AK38" s="301"/>
      <c r="AL38" s="258">
        <f t="shared" si="9"/>
        <v>0</v>
      </c>
      <c r="AM38" s="221">
        <v>6</v>
      </c>
      <c r="AN38" s="16"/>
      <c r="AR38" s="2"/>
      <c r="AS38" s="11"/>
      <c r="AT38" s="11"/>
      <c r="AU38" s="11"/>
      <c r="AV38" s="12"/>
      <c r="AW38" s="2"/>
      <c r="BA38" s="7"/>
    </row>
    <row r="39" spans="1:54" ht="18.75" x14ac:dyDescent="0.3">
      <c r="A39" s="124"/>
      <c r="B39" s="124"/>
      <c r="C39" s="124"/>
      <c r="D39" s="124"/>
      <c r="E39" s="124"/>
      <c r="F39" s="124"/>
      <c r="G39" s="124"/>
      <c r="H39" s="124"/>
      <c r="I39" s="124"/>
      <c r="J39" s="124"/>
      <c r="K39" s="124"/>
      <c r="L39" s="124"/>
      <c r="M39" s="124"/>
      <c r="N39" s="124"/>
      <c r="O39" s="124"/>
      <c r="P39" s="124"/>
      <c r="Q39" s="124"/>
      <c r="R39" s="135"/>
      <c r="S39" s="124"/>
      <c r="T39" s="124"/>
      <c r="U39" s="124"/>
      <c r="V39" s="124"/>
      <c r="W39" s="135"/>
      <c r="X39" s="182">
        <v>7</v>
      </c>
      <c r="Y39" s="200"/>
      <c r="Z39" s="201"/>
      <c r="AA39" s="182"/>
      <c r="AB39" s="182"/>
      <c r="AC39" s="277"/>
      <c r="AD39" s="108"/>
      <c r="AE39" s="108">
        <f t="shared" si="8"/>
        <v>0</v>
      </c>
      <c r="AF39" s="182"/>
      <c r="AG39" s="182"/>
      <c r="AH39" s="202"/>
      <c r="AI39" s="203"/>
      <c r="AJ39" s="108">
        <f t="shared" ref="AJ39:AJ62" si="11">AE39</f>
        <v>0</v>
      </c>
      <c r="AK39" s="301"/>
      <c r="AL39" s="258">
        <f t="shared" si="9"/>
        <v>0</v>
      </c>
      <c r="AM39" s="221">
        <v>7</v>
      </c>
      <c r="AN39" s="16"/>
      <c r="AR39" s="2"/>
      <c r="AS39" s="11"/>
      <c r="AT39" s="11"/>
      <c r="AU39" s="11"/>
      <c r="AV39" s="12"/>
      <c r="AW39" s="2"/>
      <c r="BA39" s="7"/>
    </row>
    <row r="40" spans="1:54" ht="18.75" x14ac:dyDescent="0.3">
      <c r="A40" s="124"/>
      <c r="B40" s="124"/>
      <c r="C40" s="124"/>
      <c r="D40" s="124"/>
      <c r="E40" s="124"/>
      <c r="F40" s="124"/>
      <c r="G40" s="124"/>
      <c r="H40" s="124"/>
      <c r="I40" s="124"/>
      <c r="J40" s="124"/>
      <c r="K40" s="124"/>
      <c r="L40" s="124"/>
      <c r="M40" s="124"/>
      <c r="N40" s="324"/>
      <c r="O40" s="324"/>
      <c r="P40" s="124"/>
      <c r="Q40" s="124"/>
      <c r="R40" s="135"/>
      <c r="S40" s="124"/>
      <c r="T40" s="124"/>
      <c r="U40" s="124"/>
      <c r="V40" s="124"/>
      <c r="W40" s="135"/>
      <c r="X40" s="182">
        <v>8</v>
      </c>
      <c r="Y40" s="200"/>
      <c r="Z40" s="201"/>
      <c r="AA40" s="182"/>
      <c r="AB40" s="182"/>
      <c r="AC40" s="258"/>
      <c r="AD40" s="210"/>
      <c r="AE40" s="108">
        <f t="shared" si="8"/>
        <v>0</v>
      </c>
      <c r="AF40" s="182"/>
      <c r="AG40" s="182"/>
      <c r="AH40" s="202"/>
      <c r="AI40" s="203"/>
      <c r="AJ40" s="108">
        <f t="shared" si="11"/>
        <v>0</v>
      </c>
      <c r="AK40" s="301"/>
      <c r="AL40" s="258">
        <f t="shared" si="9"/>
        <v>0</v>
      </c>
      <c r="AM40" s="221">
        <v>8</v>
      </c>
      <c r="AN40" s="16"/>
      <c r="AR40" s="2"/>
      <c r="AS40" s="11"/>
      <c r="AT40" s="11"/>
      <c r="AU40" s="11"/>
      <c r="AV40" s="12"/>
      <c r="AW40" s="2"/>
    </row>
    <row r="41" spans="1:54" ht="18.75" x14ac:dyDescent="0.3">
      <c r="A41" s="124"/>
      <c r="B41" s="124"/>
      <c r="C41" s="124"/>
      <c r="D41" s="124"/>
      <c r="E41" s="124"/>
      <c r="F41" s="124"/>
      <c r="G41" s="124"/>
      <c r="H41" s="124"/>
      <c r="I41" s="124"/>
      <c r="J41" s="124"/>
      <c r="K41" s="124"/>
      <c r="L41" s="124"/>
      <c r="M41" s="124"/>
      <c r="N41" s="324"/>
      <c r="O41" s="324"/>
      <c r="P41" s="124"/>
      <c r="Q41" s="124"/>
      <c r="R41" s="135"/>
      <c r="S41" s="124"/>
      <c r="T41" s="124"/>
      <c r="U41" s="124"/>
      <c r="V41" s="124"/>
      <c r="W41" s="135"/>
      <c r="X41" s="182">
        <v>9</v>
      </c>
      <c r="Y41" s="200"/>
      <c r="Z41" s="201"/>
      <c r="AA41" s="182"/>
      <c r="AB41" s="182"/>
      <c r="AC41" s="277"/>
      <c r="AD41" s="108"/>
      <c r="AE41" s="108">
        <f t="shared" si="8"/>
        <v>0</v>
      </c>
      <c r="AF41" s="182"/>
      <c r="AG41" s="182"/>
      <c r="AH41" s="202"/>
      <c r="AI41" s="203"/>
      <c r="AJ41" s="108">
        <f t="shared" si="11"/>
        <v>0</v>
      </c>
      <c r="AK41" s="301"/>
      <c r="AL41" s="258">
        <f t="shared" si="9"/>
        <v>0</v>
      </c>
      <c r="AM41" s="221">
        <v>9</v>
      </c>
      <c r="AN41" s="16"/>
      <c r="AR41" s="2"/>
      <c r="AS41" s="11"/>
      <c r="AT41" s="11"/>
      <c r="AU41" s="11"/>
      <c r="AV41" s="12"/>
      <c r="AW41" s="2"/>
    </row>
    <row r="42" spans="1:54" ht="18.75" x14ac:dyDescent="0.3">
      <c r="A42" s="124"/>
      <c r="B42" s="124"/>
      <c r="C42" s="124"/>
      <c r="D42" s="124"/>
      <c r="E42" s="124"/>
      <c r="F42" s="124"/>
      <c r="G42" s="124"/>
      <c r="H42" s="124"/>
      <c r="I42" s="124" t="s">
        <v>14</v>
      </c>
      <c r="J42" s="124"/>
      <c r="K42" s="124"/>
      <c r="L42" s="124"/>
      <c r="M42" s="124"/>
      <c r="N42" s="324"/>
      <c r="O42" s="324"/>
      <c r="P42" s="124"/>
      <c r="Q42" s="124"/>
      <c r="R42" s="135"/>
      <c r="S42" s="124"/>
      <c r="T42" s="124"/>
      <c r="U42" s="124"/>
      <c r="V42" s="124"/>
      <c r="W42" s="135"/>
      <c r="X42" s="182">
        <v>10</v>
      </c>
      <c r="Y42" s="200"/>
      <c r="Z42" s="201"/>
      <c r="AA42" s="182"/>
      <c r="AB42" s="182"/>
      <c r="AC42" s="258"/>
      <c r="AD42" s="210"/>
      <c r="AE42" s="108">
        <f t="shared" si="8"/>
        <v>0</v>
      </c>
      <c r="AF42" s="182"/>
      <c r="AG42" s="182"/>
      <c r="AH42" s="202"/>
      <c r="AI42" s="203"/>
      <c r="AJ42" s="108">
        <f t="shared" si="11"/>
        <v>0</v>
      </c>
      <c r="AK42" s="163"/>
      <c r="AL42" s="258">
        <f t="shared" si="9"/>
        <v>0</v>
      </c>
      <c r="AM42" s="221">
        <v>10</v>
      </c>
      <c r="AN42" s="16"/>
      <c r="AR42" s="2"/>
      <c r="AS42" s="11"/>
      <c r="AT42" s="11"/>
      <c r="AU42" s="11"/>
      <c r="AV42" s="2"/>
      <c r="AW42" s="2"/>
    </row>
    <row r="43" spans="1:54" ht="15.75" x14ac:dyDescent="0.25">
      <c r="A43" s="124"/>
      <c r="B43" s="124"/>
      <c r="C43" s="279"/>
      <c r="D43" s="279"/>
      <c r="E43" s="124"/>
      <c r="F43" s="124"/>
      <c r="G43" s="124"/>
      <c r="H43" s="124"/>
      <c r="I43" s="124"/>
      <c r="J43" s="124"/>
      <c r="K43" s="124"/>
      <c r="L43" s="124"/>
      <c r="M43" s="124"/>
      <c r="N43" s="324"/>
      <c r="O43" s="325"/>
      <c r="P43" s="124"/>
      <c r="Q43" s="124"/>
      <c r="R43" s="135"/>
      <c r="S43" s="124"/>
      <c r="T43" s="124"/>
      <c r="U43" s="124"/>
      <c r="V43" s="124"/>
      <c r="W43" s="135"/>
      <c r="X43" s="182">
        <v>11</v>
      </c>
      <c r="Y43" s="200"/>
      <c r="Z43" s="201"/>
      <c r="AA43" s="182"/>
      <c r="AB43" s="182"/>
      <c r="AC43" s="258"/>
      <c r="AD43" s="210"/>
      <c r="AE43" s="108">
        <f t="shared" si="8"/>
        <v>0</v>
      </c>
      <c r="AF43" s="182"/>
      <c r="AG43" s="182"/>
      <c r="AH43" s="202"/>
      <c r="AI43" s="203"/>
      <c r="AJ43" s="108">
        <f t="shared" si="11"/>
        <v>0</v>
      </c>
      <c r="AK43" s="23"/>
      <c r="AL43" s="258">
        <f t="shared" si="9"/>
        <v>0</v>
      </c>
      <c r="AM43" s="221">
        <v>11</v>
      </c>
      <c r="AN43" s="38"/>
      <c r="AR43" s="2"/>
      <c r="AS43" s="11"/>
      <c r="AT43" s="11"/>
      <c r="AU43" s="11"/>
      <c r="AV43" s="2"/>
    </row>
    <row r="44" spans="1:54" ht="15.75" x14ac:dyDescent="0.25">
      <c r="A44" s="124"/>
      <c r="B44" s="124"/>
      <c r="C44" s="124"/>
      <c r="D44" s="124"/>
      <c r="E44" s="124"/>
      <c r="F44" s="124"/>
      <c r="G44" s="124"/>
      <c r="H44" s="124"/>
      <c r="I44" s="124"/>
      <c r="J44" s="135"/>
      <c r="K44" s="124"/>
      <c r="L44" s="124"/>
      <c r="M44" s="124"/>
      <c r="N44" s="324"/>
      <c r="O44" s="324"/>
      <c r="P44" s="124"/>
      <c r="Q44" s="124"/>
      <c r="R44" s="135"/>
      <c r="S44" s="124"/>
      <c r="T44" s="124"/>
      <c r="U44" s="124"/>
      <c r="V44" s="124"/>
      <c r="W44" s="135"/>
      <c r="X44" s="182">
        <v>12</v>
      </c>
      <c r="Y44" s="200"/>
      <c r="Z44" s="201"/>
      <c r="AA44" s="221"/>
      <c r="AB44" s="182"/>
      <c r="AC44" s="258"/>
      <c r="AD44" s="210"/>
      <c r="AE44" s="108">
        <f t="shared" si="8"/>
        <v>0</v>
      </c>
      <c r="AF44" s="182"/>
      <c r="AG44" s="182"/>
      <c r="AH44" s="202"/>
      <c r="AI44" s="203"/>
      <c r="AJ44" s="108">
        <f t="shared" si="11"/>
        <v>0</v>
      </c>
      <c r="AK44" s="25"/>
      <c r="AL44" s="258">
        <f t="shared" si="9"/>
        <v>0</v>
      </c>
      <c r="AM44" s="221">
        <v>12</v>
      </c>
      <c r="AN44" s="28"/>
      <c r="AR44" s="2"/>
      <c r="AS44" s="11"/>
      <c r="AT44" s="11"/>
      <c r="AU44" s="11"/>
      <c r="AV44" s="2"/>
    </row>
    <row r="45" spans="1:54" ht="15.75" x14ac:dyDescent="0.25">
      <c r="A45" s="135"/>
      <c r="B45" s="135"/>
      <c r="C45" s="135"/>
      <c r="D45" s="135"/>
      <c r="E45" s="135"/>
      <c r="F45" s="135"/>
      <c r="G45" s="135"/>
      <c r="H45" s="135"/>
      <c r="I45" s="135"/>
      <c r="J45" s="135"/>
      <c r="K45" s="135"/>
      <c r="L45" s="135"/>
      <c r="M45" s="135"/>
      <c r="N45" s="326"/>
      <c r="O45" s="327"/>
      <c r="P45" s="135"/>
      <c r="Q45" s="124"/>
      <c r="R45" s="135"/>
      <c r="S45" s="124"/>
      <c r="T45" s="124"/>
      <c r="U45" s="124"/>
      <c r="V45" s="124"/>
      <c r="W45" s="135"/>
      <c r="X45" s="182">
        <v>13</v>
      </c>
      <c r="Y45" s="200"/>
      <c r="Z45" s="201"/>
      <c r="AA45" s="182"/>
      <c r="AB45" s="182"/>
      <c r="AC45" s="258"/>
      <c r="AD45" s="210"/>
      <c r="AE45" s="108">
        <f t="shared" si="8"/>
        <v>0</v>
      </c>
      <c r="AF45" s="182"/>
      <c r="AG45" s="208"/>
      <c r="AH45" s="202"/>
      <c r="AI45" s="203"/>
      <c r="AJ45" s="108">
        <f t="shared" si="11"/>
        <v>0</v>
      </c>
      <c r="AK45" s="25"/>
      <c r="AL45" s="258">
        <f t="shared" si="9"/>
        <v>0</v>
      </c>
      <c r="AM45" s="221">
        <v>13</v>
      </c>
      <c r="AN45" s="32"/>
      <c r="AR45" s="2"/>
      <c r="AS45" s="11"/>
      <c r="AT45" s="11"/>
      <c r="AU45" s="11"/>
      <c r="AV45" s="2"/>
    </row>
    <row r="46" spans="1:54" ht="18.75" x14ac:dyDescent="0.3">
      <c r="A46" s="135"/>
      <c r="B46" s="135"/>
      <c r="C46" s="135"/>
      <c r="D46" s="135"/>
      <c r="E46" s="135"/>
      <c r="F46" s="135"/>
      <c r="G46" s="135"/>
      <c r="H46" s="135"/>
      <c r="I46" s="135"/>
      <c r="J46" s="124"/>
      <c r="K46" s="135"/>
      <c r="L46" s="135"/>
      <c r="M46" s="135"/>
      <c r="N46" s="135"/>
      <c r="O46" s="135"/>
      <c r="P46" s="135" t="s">
        <v>14</v>
      </c>
      <c r="Q46" s="124"/>
      <c r="R46" s="135"/>
      <c r="S46" s="124"/>
      <c r="T46" s="124"/>
      <c r="U46" s="124"/>
      <c r="V46" s="124"/>
      <c r="W46" s="135"/>
      <c r="X46" s="182">
        <v>14</v>
      </c>
      <c r="Y46" s="200"/>
      <c r="Z46" s="201"/>
      <c r="AA46" s="182"/>
      <c r="AB46" s="182"/>
      <c r="AC46" s="258"/>
      <c r="AD46" s="210"/>
      <c r="AE46" s="108">
        <f t="shared" ref="AE46:AE62" si="12">SUM(AC46:AD46)</f>
        <v>0</v>
      </c>
      <c r="AF46" s="182"/>
      <c r="AG46" s="226"/>
      <c r="AH46" s="202"/>
      <c r="AI46" s="203"/>
      <c r="AJ46" s="108">
        <f t="shared" si="11"/>
        <v>0</v>
      </c>
      <c r="AK46" s="163"/>
      <c r="AL46" s="258">
        <f t="shared" si="9"/>
        <v>0</v>
      </c>
      <c r="AM46" s="221">
        <v>14</v>
      </c>
      <c r="AN46" s="34"/>
      <c r="AR46" s="2"/>
      <c r="AS46" s="11"/>
      <c r="AT46" s="11"/>
      <c r="AU46" s="11"/>
      <c r="AV46" s="2"/>
    </row>
    <row r="47" spans="1:54" ht="15.75" x14ac:dyDescent="0.25">
      <c r="A47" s="280"/>
      <c r="B47" s="135"/>
      <c r="C47" s="135"/>
      <c r="D47" s="135"/>
      <c r="E47" s="135"/>
      <c r="F47" s="281"/>
      <c r="G47" s="135"/>
      <c r="H47" s="135"/>
      <c r="I47" s="135"/>
      <c r="J47" s="135"/>
      <c r="K47" s="135"/>
      <c r="L47" s="135"/>
      <c r="M47" s="135"/>
      <c r="N47" s="135"/>
      <c r="O47" s="135"/>
      <c r="P47" s="135"/>
      <c r="Q47" s="124"/>
      <c r="R47" s="135"/>
      <c r="S47" s="124"/>
      <c r="T47" s="124"/>
      <c r="U47" s="124"/>
      <c r="V47" s="124"/>
      <c r="W47" s="135"/>
      <c r="X47" s="182">
        <v>15</v>
      </c>
      <c r="Y47" s="200"/>
      <c r="Z47" s="201"/>
      <c r="AA47" s="182"/>
      <c r="AB47" s="228"/>
      <c r="AC47" s="258"/>
      <c r="AD47" s="210"/>
      <c r="AE47" s="108">
        <f t="shared" si="12"/>
        <v>0</v>
      </c>
      <c r="AF47" s="182"/>
      <c r="AG47" s="182"/>
      <c r="AH47" s="202"/>
      <c r="AI47" s="203"/>
      <c r="AJ47" s="108">
        <f t="shared" si="11"/>
        <v>0</v>
      </c>
      <c r="AK47" s="23"/>
      <c r="AL47" s="258">
        <f t="shared" si="9"/>
        <v>0</v>
      </c>
      <c r="AM47" s="221">
        <v>15</v>
      </c>
      <c r="AN47" s="24"/>
      <c r="BA47" s="7"/>
    </row>
    <row r="48" spans="1:54" ht="15.75" x14ac:dyDescent="0.25">
      <c r="A48" s="280"/>
      <c r="B48" s="135"/>
      <c r="C48" s="135"/>
      <c r="D48" s="135"/>
      <c r="E48" s="135"/>
      <c r="F48" s="135"/>
      <c r="G48" s="135"/>
      <c r="H48" s="135"/>
      <c r="I48" s="135"/>
      <c r="J48" s="135"/>
      <c r="K48" s="135"/>
      <c r="L48" s="135"/>
      <c r="M48" s="135"/>
      <c r="N48" s="135"/>
      <c r="O48" s="135"/>
      <c r="P48" s="135"/>
      <c r="Q48" s="124"/>
      <c r="R48" s="135"/>
      <c r="S48" s="124"/>
      <c r="T48" s="124"/>
      <c r="U48" s="124"/>
      <c r="V48" s="124"/>
      <c r="W48" s="135"/>
      <c r="X48" s="182">
        <v>16</v>
      </c>
      <c r="Y48" s="200"/>
      <c r="Z48" s="201"/>
      <c r="AA48" s="182"/>
      <c r="AB48" s="182"/>
      <c r="AC48" s="258"/>
      <c r="AD48" s="210"/>
      <c r="AE48" s="108">
        <f t="shared" si="12"/>
        <v>0</v>
      </c>
      <c r="AF48" s="182"/>
      <c r="AG48" s="182"/>
      <c r="AH48" s="202"/>
      <c r="AI48" s="203"/>
      <c r="AJ48" s="108">
        <f t="shared" si="11"/>
        <v>0</v>
      </c>
      <c r="AK48" s="23"/>
      <c r="AL48" s="258">
        <f t="shared" si="9"/>
        <v>0</v>
      </c>
      <c r="AM48" s="221">
        <v>16</v>
      </c>
      <c r="AN48" s="24"/>
      <c r="AY48" s="7"/>
      <c r="BA48" s="7"/>
    </row>
    <row r="49" spans="1:54" ht="18.75" x14ac:dyDescent="0.3">
      <c r="A49" s="280"/>
      <c r="B49" s="135"/>
      <c r="C49" s="135"/>
      <c r="D49" s="135"/>
      <c r="E49" s="135"/>
      <c r="F49" s="281"/>
      <c r="G49" s="135"/>
      <c r="H49" s="135"/>
      <c r="I49" s="135"/>
      <c r="J49" s="135"/>
      <c r="K49" s="135"/>
      <c r="L49" s="135"/>
      <c r="M49" s="135"/>
      <c r="N49" s="135"/>
      <c r="O49" s="135"/>
      <c r="P49" s="135"/>
      <c r="Q49" s="124"/>
      <c r="R49" s="135"/>
      <c r="S49" s="124"/>
      <c r="T49" s="124"/>
      <c r="U49" s="124"/>
      <c r="V49" s="124"/>
      <c r="W49" s="135"/>
      <c r="X49" s="182">
        <v>17</v>
      </c>
      <c r="Y49" s="223"/>
      <c r="Z49" s="224"/>
      <c r="AA49" s="208"/>
      <c r="AB49" s="208"/>
      <c r="AC49" s="277"/>
      <c r="AD49" s="108"/>
      <c r="AE49" s="108">
        <f t="shared" si="12"/>
        <v>0</v>
      </c>
      <c r="AF49" s="208"/>
      <c r="AG49" s="208"/>
      <c r="AH49" s="202"/>
      <c r="AI49" s="203"/>
      <c r="AJ49" s="108">
        <f t="shared" si="11"/>
        <v>0</v>
      </c>
      <c r="AK49" s="163"/>
      <c r="AL49" s="258">
        <f t="shared" si="9"/>
        <v>0</v>
      </c>
      <c r="AM49" s="221">
        <v>17</v>
      </c>
      <c r="AN49" s="22"/>
      <c r="AY49" s="7"/>
      <c r="BA49" s="7"/>
    </row>
    <row r="50" spans="1:54" ht="18.75" x14ac:dyDescent="0.3">
      <c r="A50" s="280"/>
      <c r="B50" s="135"/>
      <c r="C50" s="135"/>
      <c r="D50" s="135"/>
      <c r="E50" s="135"/>
      <c r="F50" s="281"/>
      <c r="G50" s="135"/>
      <c r="H50" s="135"/>
      <c r="I50" s="135"/>
      <c r="J50" s="135"/>
      <c r="K50" s="135"/>
      <c r="L50" s="135"/>
      <c r="M50" s="135"/>
      <c r="N50" s="135"/>
      <c r="O50" s="135"/>
      <c r="P50" s="135"/>
      <c r="Q50" s="124"/>
      <c r="R50" s="135"/>
      <c r="S50" s="124"/>
      <c r="T50" s="124"/>
      <c r="U50" s="124"/>
      <c r="V50" s="124"/>
      <c r="W50" s="135"/>
      <c r="X50" s="182">
        <v>18</v>
      </c>
      <c r="Y50" s="200"/>
      <c r="Z50" s="201"/>
      <c r="AA50" s="182"/>
      <c r="AB50" s="182"/>
      <c r="AC50" s="277"/>
      <c r="AD50" s="108"/>
      <c r="AE50" s="108">
        <f t="shared" si="12"/>
        <v>0</v>
      </c>
      <c r="AF50" s="182"/>
      <c r="AG50" s="216"/>
      <c r="AH50" s="202"/>
      <c r="AI50" s="203"/>
      <c r="AJ50" s="108">
        <f t="shared" si="11"/>
        <v>0</v>
      </c>
      <c r="AK50" s="163"/>
      <c r="AL50" s="258">
        <f t="shared" si="9"/>
        <v>0</v>
      </c>
      <c r="AM50" s="221">
        <v>18</v>
      </c>
      <c r="AN50" s="22"/>
      <c r="AY50" s="2"/>
    </row>
    <row r="51" spans="1:54" ht="18.75" x14ac:dyDescent="0.3">
      <c r="A51" s="280"/>
      <c r="B51" s="135"/>
      <c r="C51" s="135"/>
      <c r="D51" s="135"/>
      <c r="E51" s="135"/>
      <c r="F51" s="281"/>
      <c r="G51" s="135"/>
      <c r="H51" s="135"/>
      <c r="I51" s="135"/>
      <c r="J51" s="135"/>
      <c r="K51" s="135"/>
      <c r="L51" s="135"/>
      <c r="M51" s="135"/>
      <c r="N51" s="135"/>
      <c r="O51" s="135"/>
      <c r="P51" s="135"/>
      <c r="Q51" s="124"/>
      <c r="R51" s="135"/>
      <c r="S51" s="124"/>
      <c r="T51" s="124"/>
      <c r="U51" s="124"/>
      <c r="V51" s="124"/>
      <c r="W51" s="135"/>
      <c r="X51" s="182">
        <v>19</v>
      </c>
      <c r="Y51" s="200"/>
      <c r="Z51" s="201"/>
      <c r="AA51" s="182"/>
      <c r="AB51" s="221"/>
      <c r="AC51" s="277"/>
      <c r="AD51" s="108"/>
      <c r="AE51" s="108">
        <f t="shared" si="12"/>
        <v>0</v>
      </c>
      <c r="AF51" s="182"/>
      <c r="AG51" s="182"/>
      <c r="AH51" s="202"/>
      <c r="AI51" s="203"/>
      <c r="AJ51" s="108">
        <f t="shared" si="11"/>
        <v>0</v>
      </c>
      <c r="AK51" s="163"/>
      <c r="AL51" s="258">
        <f t="shared" si="9"/>
        <v>0</v>
      </c>
      <c r="AM51" s="221">
        <v>19</v>
      </c>
      <c r="AN51" s="22"/>
      <c r="AR51" s="2"/>
      <c r="AS51" s="2"/>
      <c r="AT51" s="2"/>
      <c r="AU51" s="2"/>
      <c r="AV51" s="2"/>
      <c r="AY51" s="2"/>
      <c r="AZ51" s="2"/>
      <c r="BA51" s="2"/>
      <c r="BB51" s="2"/>
    </row>
    <row r="52" spans="1:54" ht="18.75" x14ac:dyDescent="0.3">
      <c r="A52" s="280"/>
      <c r="B52" s="135"/>
      <c r="C52" s="135"/>
      <c r="D52" s="135"/>
      <c r="E52" s="135"/>
      <c r="F52" s="135"/>
      <c r="G52" s="135"/>
      <c r="H52" s="135"/>
      <c r="I52" s="135"/>
      <c r="J52" s="135"/>
      <c r="K52" s="135"/>
      <c r="L52" s="135"/>
      <c r="M52" s="135"/>
      <c r="N52" s="135"/>
      <c r="O52" s="135"/>
      <c r="P52" s="135"/>
      <c r="Q52" s="124"/>
      <c r="R52" s="135"/>
      <c r="S52" s="124"/>
      <c r="T52" s="124"/>
      <c r="U52" s="124"/>
      <c r="V52" s="124"/>
      <c r="W52" s="135"/>
      <c r="X52" s="182">
        <v>20</v>
      </c>
      <c r="Y52" s="200"/>
      <c r="Z52" s="201"/>
      <c r="AA52" s="182"/>
      <c r="AB52" s="182"/>
      <c r="AC52" s="277"/>
      <c r="AD52" s="108"/>
      <c r="AE52" s="108">
        <f t="shared" si="12"/>
        <v>0</v>
      </c>
      <c r="AF52" s="182"/>
      <c r="AG52" s="182"/>
      <c r="AH52" s="202"/>
      <c r="AI52" s="203"/>
      <c r="AJ52" s="108">
        <f t="shared" si="11"/>
        <v>0</v>
      </c>
      <c r="AK52" s="163"/>
      <c r="AL52" s="258">
        <f t="shared" si="9"/>
        <v>0</v>
      </c>
      <c r="AM52" s="221">
        <v>20</v>
      </c>
      <c r="AN52" s="22"/>
      <c r="AR52" s="92"/>
      <c r="AS52" s="11"/>
      <c r="AT52" s="11"/>
      <c r="AU52" s="2"/>
      <c r="AV52" s="2"/>
      <c r="AY52" s="2"/>
      <c r="AZ52" s="2"/>
      <c r="BA52" s="12"/>
      <c r="BB52" s="2"/>
    </row>
    <row r="53" spans="1:54" ht="18.75" x14ac:dyDescent="0.3">
      <c r="A53" s="280"/>
      <c r="B53" s="135"/>
      <c r="C53" s="135"/>
      <c r="D53" s="135"/>
      <c r="E53" s="135"/>
      <c r="F53" s="135"/>
      <c r="G53" s="135"/>
      <c r="H53" s="135"/>
      <c r="I53" s="135"/>
      <c r="J53" s="135"/>
      <c r="K53" s="135"/>
      <c r="L53" s="135"/>
      <c r="M53" s="135"/>
      <c r="N53" s="135"/>
      <c r="O53" s="135"/>
      <c r="P53" s="135"/>
      <c r="Q53" s="124"/>
      <c r="R53" s="135"/>
      <c r="S53" s="124"/>
      <c r="T53" s="124"/>
      <c r="U53" s="124"/>
      <c r="V53" s="124"/>
      <c r="W53" s="135"/>
      <c r="X53" s="182">
        <v>21</v>
      </c>
      <c r="Y53" s="200"/>
      <c r="Z53" s="201"/>
      <c r="AA53" s="182"/>
      <c r="AB53" s="225"/>
      <c r="AC53" s="277"/>
      <c r="AD53" s="108"/>
      <c r="AE53" s="108">
        <f t="shared" si="12"/>
        <v>0</v>
      </c>
      <c r="AF53" s="182"/>
      <c r="AG53" s="182"/>
      <c r="AH53" s="202"/>
      <c r="AI53" s="203"/>
      <c r="AJ53" s="108">
        <f t="shared" si="11"/>
        <v>0</v>
      </c>
      <c r="AK53" s="163"/>
      <c r="AL53" s="258">
        <f t="shared" si="9"/>
        <v>0</v>
      </c>
      <c r="AM53" s="221">
        <v>21</v>
      </c>
      <c r="AN53" s="16"/>
      <c r="AR53" s="92"/>
      <c r="AS53" s="11"/>
      <c r="AT53" s="11"/>
      <c r="AU53" s="2"/>
      <c r="AV53" s="2"/>
      <c r="AY53" s="12"/>
      <c r="AZ53" s="2"/>
      <c r="BA53" s="12"/>
      <c r="BB53" s="2"/>
    </row>
    <row r="54" spans="1:54" ht="18.75" x14ac:dyDescent="0.3">
      <c r="A54" s="280"/>
      <c r="B54" s="135"/>
      <c r="C54" s="135"/>
      <c r="D54" s="135"/>
      <c r="E54" s="135"/>
      <c r="F54" s="135"/>
      <c r="G54" s="135"/>
      <c r="H54" s="135"/>
      <c r="I54" s="135"/>
      <c r="J54" s="135"/>
      <c r="K54" s="135"/>
      <c r="L54" s="135"/>
      <c r="M54" s="135"/>
      <c r="N54" s="135"/>
      <c r="O54" s="135"/>
      <c r="P54" s="135"/>
      <c r="Q54" s="124"/>
      <c r="R54" s="135"/>
      <c r="S54" s="124"/>
      <c r="T54" s="124"/>
      <c r="U54" s="124"/>
      <c r="V54" s="124"/>
      <c r="W54" s="135"/>
      <c r="X54" s="182">
        <v>22</v>
      </c>
      <c r="Y54" s="200"/>
      <c r="Z54" s="201"/>
      <c r="AA54" s="182"/>
      <c r="AB54" s="182"/>
      <c r="AC54" s="277"/>
      <c r="AD54" s="108"/>
      <c r="AE54" s="108">
        <f t="shared" si="12"/>
        <v>0</v>
      </c>
      <c r="AF54" s="182"/>
      <c r="AG54" s="182"/>
      <c r="AH54" s="202"/>
      <c r="AI54" s="203"/>
      <c r="AJ54" s="108">
        <f t="shared" si="11"/>
        <v>0</v>
      </c>
      <c r="AK54" s="163"/>
      <c r="AL54" s="258">
        <f t="shared" si="9"/>
        <v>0</v>
      </c>
      <c r="AM54" s="221">
        <v>22</v>
      </c>
      <c r="AN54" s="22"/>
      <c r="AR54" s="92"/>
      <c r="AS54" s="11"/>
      <c r="AT54" s="11"/>
      <c r="AU54" s="2"/>
      <c r="AV54" s="2"/>
      <c r="AY54" s="12"/>
      <c r="AZ54" s="2"/>
      <c r="BA54" s="12"/>
      <c r="BB54" s="2"/>
    </row>
    <row r="55" spans="1:54" ht="18.75" x14ac:dyDescent="0.3">
      <c r="A55" s="280"/>
      <c r="B55" s="135"/>
      <c r="C55" s="135"/>
      <c r="D55" s="135"/>
      <c r="E55" s="135"/>
      <c r="F55" s="135"/>
      <c r="G55" s="135"/>
      <c r="H55" s="135"/>
      <c r="I55" s="135"/>
      <c r="J55" s="135"/>
      <c r="K55" s="135"/>
      <c r="L55" s="135"/>
      <c r="M55" s="135"/>
      <c r="N55" s="135"/>
      <c r="O55" s="135"/>
      <c r="P55" s="135"/>
      <c r="Q55" s="124"/>
      <c r="R55" s="135"/>
      <c r="S55" s="124"/>
      <c r="T55" s="124"/>
      <c r="U55" s="124"/>
      <c r="V55" s="124"/>
      <c r="W55" s="135"/>
      <c r="X55" s="182">
        <v>23</v>
      </c>
      <c r="Y55" s="217"/>
      <c r="Z55" s="201"/>
      <c r="AA55" s="182"/>
      <c r="AB55" s="221"/>
      <c r="AC55" s="277"/>
      <c r="AD55" s="108"/>
      <c r="AE55" s="108">
        <f t="shared" si="12"/>
        <v>0</v>
      </c>
      <c r="AF55" s="182"/>
      <c r="AG55" s="216"/>
      <c r="AH55" s="202"/>
      <c r="AI55" s="203"/>
      <c r="AJ55" s="108">
        <f t="shared" si="11"/>
        <v>0</v>
      </c>
      <c r="AK55" s="163"/>
      <c r="AL55" s="258">
        <f t="shared" si="9"/>
        <v>0</v>
      </c>
      <c r="AM55" s="221">
        <v>23</v>
      </c>
      <c r="AN55" s="22"/>
      <c r="AR55" s="92"/>
      <c r="AS55" s="2"/>
      <c r="AT55" s="2"/>
      <c r="AU55" s="2"/>
      <c r="AV55" s="2"/>
      <c r="AY55" s="2"/>
      <c r="AZ55" s="2"/>
      <c r="BA55" s="12"/>
      <c r="BB55" s="2"/>
    </row>
    <row r="56" spans="1:54" ht="18.75" x14ac:dyDescent="0.3">
      <c r="A56" s="280"/>
      <c r="B56" s="135"/>
      <c r="C56" s="135"/>
      <c r="D56" s="135"/>
      <c r="E56" s="135"/>
      <c r="F56" s="135"/>
      <c r="G56" s="135"/>
      <c r="H56" s="135"/>
      <c r="I56" s="135"/>
      <c r="J56" s="135"/>
      <c r="K56" s="135"/>
      <c r="L56" s="135"/>
      <c r="M56" s="135"/>
      <c r="N56" s="135"/>
      <c r="O56" s="135"/>
      <c r="P56" s="135"/>
      <c r="Q56" s="124"/>
      <c r="R56" s="135"/>
      <c r="S56" s="124"/>
      <c r="T56" s="124"/>
      <c r="U56" s="124"/>
      <c r="V56" s="124"/>
      <c r="W56" s="135"/>
      <c r="X56" s="182">
        <v>24</v>
      </c>
      <c r="Y56" s="200"/>
      <c r="Z56" s="201"/>
      <c r="AA56" s="182"/>
      <c r="AB56" s="182"/>
      <c r="AC56" s="277"/>
      <c r="AD56" s="108"/>
      <c r="AE56" s="108">
        <f t="shared" si="12"/>
        <v>0</v>
      </c>
      <c r="AF56" s="182"/>
      <c r="AG56" s="182"/>
      <c r="AH56" s="202"/>
      <c r="AI56" s="203"/>
      <c r="AJ56" s="108">
        <f t="shared" si="11"/>
        <v>0</v>
      </c>
      <c r="AK56" s="301"/>
      <c r="AL56" s="258">
        <f t="shared" si="9"/>
        <v>0</v>
      </c>
      <c r="AM56" s="221">
        <v>24</v>
      </c>
      <c r="AN56" s="22"/>
      <c r="AR56" s="2"/>
      <c r="AS56" s="2"/>
      <c r="AT56" s="2"/>
      <c r="AU56" s="2"/>
      <c r="AV56" s="2"/>
      <c r="AY56" s="2"/>
      <c r="AZ56" s="2"/>
      <c r="BA56" s="2"/>
      <c r="BB56" s="2"/>
    </row>
    <row r="57" spans="1:54" ht="18.75" x14ac:dyDescent="0.3">
      <c r="A57" s="280"/>
      <c r="B57" s="135"/>
      <c r="C57" s="135"/>
      <c r="D57" s="135"/>
      <c r="E57" s="135"/>
      <c r="F57" s="135"/>
      <c r="G57" s="135"/>
      <c r="H57" s="135"/>
      <c r="I57" s="135"/>
      <c r="J57" s="135"/>
      <c r="K57" s="135"/>
      <c r="L57" s="135"/>
      <c r="M57" s="135"/>
      <c r="N57" s="135"/>
      <c r="O57" s="135"/>
      <c r="P57" s="135"/>
      <c r="Q57" s="124"/>
      <c r="R57" s="135"/>
      <c r="S57" s="124"/>
      <c r="T57" s="124"/>
      <c r="U57" s="124"/>
      <c r="V57" s="124"/>
      <c r="W57" s="135"/>
      <c r="X57" s="182">
        <v>25</v>
      </c>
      <c r="Y57" s="200"/>
      <c r="Z57" s="201"/>
      <c r="AA57" s="182"/>
      <c r="AB57" s="182"/>
      <c r="AC57" s="277"/>
      <c r="AD57" s="108"/>
      <c r="AE57" s="108">
        <f t="shared" si="12"/>
        <v>0</v>
      </c>
      <c r="AF57" s="182"/>
      <c r="AG57" s="182"/>
      <c r="AH57" s="202"/>
      <c r="AI57" s="203"/>
      <c r="AJ57" s="108">
        <f t="shared" si="11"/>
        <v>0</v>
      </c>
      <c r="AK57" s="163"/>
      <c r="AL57" s="258">
        <f t="shared" si="9"/>
        <v>0</v>
      </c>
      <c r="AM57" s="221">
        <v>25</v>
      </c>
      <c r="AN57" s="36"/>
      <c r="AR57" s="92"/>
      <c r="AS57" s="2"/>
      <c r="AT57" s="2"/>
      <c r="AU57" s="2"/>
      <c r="AV57" s="2"/>
      <c r="AY57" s="2"/>
      <c r="AZ57" s="2"/>
      <c r="BA57" s="2"/>
      <c r="BB57" s="2"/>
    </row>
    <row r="58" spans="1:54" ht="18.75" x14ac:dyDescent="0.3">
      <c r="A58" s="280"/>
      <c r="B58" s="135"/>
      <c r="C58" s="135"/>
      <c r="D58" s="135"/>
      <c r="E58" s="135"/>
      <c r="F58" s="135"/>
      <c r="G58" s="135"/>
      <c r="H58" s="135"/>
      <c r="I58" s="135"/>
      <c r="J58" s="135"/>
      <c r="K58" s="135"/>
      <c r="L58" s="135"/>
      <c r="M58" s="135"/>
      <c r="N58" s="135"/>
      <c r="O58" s="135"/>
      <c r="P58" s="135"/>
      <c r="Q58" s="124"/>
      <c r="R58" s="135"/>
      <c r="S58" s="124"/>
      <c r="T58" s="124"/>
      <c r="U58" s="124"/>
      <c r="V58" s="124"/>
      <c r="W58" s="135"/>
      <c r="X58" s="182">
        <v>26</v>
      </c>
      <c r="Y58" s="200"/>
      <c r="Z58" s="201"/>
      <c r="AA58" s="182"/>
      <c r="AB58" s="182"/>
      <c r="AC58" s="277"/>
      <c r="AD58" s="108"/>
      <c r="AE58" s="108">
        <f t="shared" si="12"/>
        <v>0</v>
      </c>
      <c r="AF58" s="182"/>
      <c r="AG58" s="182"/>
      <c r="AH58" s="202"/>
      <c r="AI58" s="203"/>
      <c r="AJ58" s="108">
        <f t="shared" si="11"/>
        <v>0</v>
      </c>
      <c r="AK58" s="163"/>
      <c r="AL58" s="258">
        <f t="shared" si="9"/>
        <v>0</v>
      </c>
      <c r="AM58" s="221">
        <v>26</v>
      </c>
      <c r="AN58" s="16"/>
      <c r="AR58" s="2"/>
      <c r="AS58" s="2"/>
      <c r="AT58" s="2"/>
      <c r="AU58" s="2"/>
      <c r="AV58" s="2"/>
      <c r="AY58" s="2"/>
      <c r="AZ58" s="2"/>
      <c r="BA58" s="2"/>
      <c r="BB58" s="2"/>
    </row>
    <row r="59" spans="1:54" ht="18.75" x14ac:dyDescent="0.3">
      <c r="A59" s="280"/>
      <c r="B59" s="135"/>
      <c r="C59" s="135"/>
      <c r="D59" s="135"/>
      <c r="E59" s="135"/>
      <c r="F59" s="135"/>
      <c r="G59" s="135"/>
      <c r="H59" s="135"/>
      <c r="I59" s="135"/>
      <c r="J59" s="135"/>
      <c r="K59" s="135"/>
      <c r="L59" s="135"/>
      <c r="M59" s="135"/>
      <c r="N59" s="135"/>
      <c r="O59" s="135"/>
      <c r="P59" s="135"/>
      <c r="Q59" s="124"/>
      <c r="R59" s="135"/>
      <c r="S59" s="124"/>
      <c r="T59" s="124"/>
      <c r="U59" s="124"/>
      <c r="V59" s="124"/>
      <c r="W59" s="135"/>
      <c r="X59" s="182">
        <v>27</v>
      </c>
      <c r="Y59" s="200"/>
      <c r="Z59" s="201"/>
      <c r="AA59" s="182"/>
      <c r="AB59" s="182"/>
      <c r="AC59" s="277"/>
      <c r="AD59" s="108"/>
      <c r="AE59" s="108">
        <f t="shared" si="12"/>
        <v>0</v>
      </c>
      <c r="AF59" s="182"/>
      <c r="AG59" s="182"/>
      <c r="AH59" s="202"/>
      <c r="AI59" s="203"/>
      <c r="AJ59" s="108">
        <f t="shared" si="11"/>
        <v>0</v>
      </c>
      <c r="AK59" s="163"/>
      <c r="AL59" s="258">
        <f t="shared" si="9"/>
        <v>0</v>
      </c>
      <c r="AM59" s="221">
        <v>27</v>
      </c>
      <c r="AN59" s="16"/>
      <c r="AR59" s="2"/>
      <c r="AS59" s="2"/>
      <c r="AT59" s="2"/>
      <c r="AU59" s="2"/>
      <c r="AV59" s="12"/>
      <c r="AY59" s="2"/>
      <c r="AZ59" s="2"/>
      <c r="BA59" s="2"/>
      <c r="BB59" s="2"/>
    </row>
    <row r="60" spans="1:54" ht="18.75" x14ac:dyDescent="0.3">
      <c r="A60" s="280"/>
      <c r="B60" s="135"/>
      <c r="C60" s="135"/>
      <c r="D60" s="135"/>
      <c r="E60" s="135"/>
      <c r="F60" s="135"/>
      <c r="G60" s="135"/>
      <c r="H60" s="135"/>
      <c r="I60" s="135"/>
      <c r="J60" s="135"/>
      <c r="K60" s="135"/>
      <c r="L60" s="135"/>
      <c r="M60" s="135"/>
      <c r="N60" s="135"/>
      <c r="O60" s="135"/>
      <c r="P60" s="135"/>
      <c r="Q60" s="124"/>
      <c r="R60" s="135"/>
      <c r="S60" s="124"/>
      <c r="T60" s="124"/>
      <c r="U60" s="124"/>
      <c r="V60" s="124"/>
      <c r="W60" s="135"/>
      <c r="X60" s="182">
        <v>28</v>
      </c>
      <c r="Y60" s="200"/>
      <c r="Z60" s="201"/>
      <c r="AA60" s="182"/>
      <c r="AB60" s="227"/>
      <c r="AC60" s="277"/>
      <c r="AD60" s="108"/>
      <c r="AE60" s="108">
        <f t="shared" si="12"/>
        <v>0</v>
      </c>
      <c r="AF60" s="182"/>
      <c r="AG60" s="182"/>
      <c r="AH60" s="202"/>
      <c r="AI60" s="203"/>
      <c r="AJ60" s="108">
        <f t="shared" si="11"/>
        <v>0</v>
      </c>
      <c r="AK60" s="163"/>
      <c r="AL60" s="258">
        <f t="shared" si="9"/>
        <v>0</v>
      </c>
      <c r="AM60" s="221">
        <v>28</v>
      </c>
      <c r="AN60" s="16"/>
      <c r="AR60" s="12"/>
      <c r="AS60" s="2"/>
      <c r="AT60" s="2"/>
      <c r="AU60" s="2"/>
      <c r="AV60" s="12"/>
      <c r="AY60" s="2"/>
      <c r="AZ60" s="2"/>
      <c r="BA60" s="2"/>
      <c r="BB60" s="2"/>
    </row>
    <row r="61" spans="1:54" ht="18.75" x14ac:dyDescent="0.3">
      <c r="A61" s="280"/>
      <c r="B61" s="135"/>
      <c r="C61" s="135"/>
      <c r="D61" s="135"/>
      <c r="E61" s="135"/>
      <c r="F61" s="135"/>
      <c r="G61" s="135"/>
      <c r="H61" s="135"/>
      <c r="I61" s="135"/>
      <c r="J61" s="135"/>
      <c r="K61" s="135"/>
      <c r="L61" s="135"/>
      <c r="M61" s="135"/>
      <c r="N61" s="135"/>
      <c r="O61" s="135"/>
      <c r="P61" s="135"/>
      <c r="Q61" s="124"/>
      <c r="R61" s="135"/>
      <c r="S61" s="124"/>
      <c r="T61" s="124"/>
      <c r="U61" s="124"/>
      <c r="V61" s="124"/>
      <c r="W61" s="135"/>
      <c r="X61" s="182">
        <v>29</v>
      </c>
      <c r="Y61" s="223"/>
      <c r="Z61" s="224"/>
      <c r="AA61" s="208"/>
      <c r="AB61" s="208"/>
      <c r="AC61" s="277"/>
      <c r="AD61" s="210"/>
      <c r="AE61" s="108">
        <f t="shared" si="12"/>
        <v>0</v>
      </c>
      <c r="AF61" s="182"/>
      <c r="AG61" s="182"/>
      <c r="AH61" s="282"/>
      <c r="AI61" s="203"/>
      <c r="AJ61" s="108">
        <f t="shared" si="11"/>
        <v>0</v>
      </c>
      <c r="AK61" s="306"/>
      <c r="AL61" s="258">
        <f t="shared" si="9"/>
        <v>0</v>
      </c>
      <c r="AM61" s="221">
        <v>29</v>
      </c>
      <c r="AN61" s="16"/>
      <c r="AR61" s="12"/>
      <c r="AS61" s="2"/>
      <c r="AT61" s="2"/>
      <c r="AU61" s="2"/>
      <c r="AV61" s="12"/>
    </row>
    <row r="62" spans="1:54" ht="18.75" x14ac:dyDescent="0.3">
      <c r="A62" s="280"/>
      <c r="B62" s="135"/>
      <c r="C62" s="135"/>
      <c r="D62" s="135"/>
      <c r="E62" s="135"/>
      <c r="F62" s="135"/>
      <c r="G62" s="135"/>
      <c r="H62" s="135"/>
      <c r="I62" s="135"/>
      <c r="J62" s="135"/>
      <c r="K62" s="135"/>
      <c r="L62" s="135"/>
      <c r="M62" s="135"/>
      <c r="N62" s="135"/>
      <c r="O62" s="135"/>
      <c r="P62" s="135"/>
      <c r="Q62" s="124"/>
      <c r="R62" s="135"/>
      <c r="S62" s="124"/>
      <c r="T62" s="124"/>
      <c r="U62" s="124"/>
      <c r="V62" s="124"/>
      <c r="W62" s="135"/>
      <c r="X62" s="182">
        <v>30</v>
      </c>
      <c r="Y62" s="223"/>
      <c r="Z62" s="224"/>
      <c r="AA62" s="208"/>
      <c r="AB62" s="208"/>
      <c r="AC62" s="277"/>
      <c r="AD62" s="108"/>
      <c r="AE62" s="108">
        <f t="shared" si="12"/>
        <v>0</v>
      </c>
      <c r="AF62" s="182"/>
      <c r="AG62" s="283"/>
      <c r="AH62" s="284"/>
      <c r="AI62" s="285"/>
      <c r="AJ62" s="286">
        <f t="shared" si="11"/>
        <v>0</v>
      </c>
      <c r="AK62" s="301"/>
      <c r="AL62" s="307">
        <f t="shared" si="9"/>
        <v>0</v>
      </c>
      <c r="AM62" s="221">
        <v>30</v>
      </c>
      <c r="AN62" s="16"/>
      <c r="AR62" s="2"/>
      <c r="AS62" s="2"/>
      <c r="AT62" s="2"/>
      <c r="AU62" s="2"/>
      <c r="AV62" s="12"/>
    </row>
    <row r="63" spans="1:54" ht="18.75" x14ac:dyDescent="0.3">
      <c r="A63" s="280"/>
      <c r="B63" s="135"/>
      <c r="C63" s="135"/>
      <c r="D63" s="135"/>
      <c r="E63" s="135"/>
      <c r="F63" s="135"/>
      <c r="G63" s="135"/>
      <c r="H63" s="135"/>
      <c r="I63" s="135"/>
      <c r="J63" s="135"/>
      <c r="K63" s="135"/>
      <c r="L63" s="135"/>
      <c r="M63" s="135"/>
      <c r="N63" s="135"/>
      <c r="O63" s="135"/>
      <c r="P63" s="135"/>
      <c r="Q63" s="124"/>
      <c r="R63" s="135"/>
      <c r="S63" s="124"/>
      <c r="T63" s="124"/>
      <c r="U63" s="124"/>
      <c r="V63" s="124"/>
      <c r="W63" s="135"/>
      <c r="X63" s="24"/>
      <c r="Y63" s="160"/>
      <c r="Z63" s="161"/>
      <c r="AA63" s="24"/>
      <c r="AB63" s="24"/>
      <c r="AC63" s="277">
        <f>SUM(AC33:AC62)</f>
        <v>0</v>
      </c>
      <c r="AD63" s="287"/>
      <c r="AE63" s="163"/>
      <c r="AF63" s="24"/>
      <c r="AG63" s="288"/>
      <c r="AH63" s="289" t="s">
        <v>75</v>
      </c>
      <c r="AI63" s="290"/>
      <c r="AJ63" s="291">
        <f>SUM(AJ3:AJ62)</f>
        <v>0</v>
      </c>
      <c r="AK63" s="163"/>
      <c r="AL63" s="258">
        <f t="shared" si="9"/>
        <v>0</v>
      </c>
      <c r="AM63" s="38"/>
      <c r="AN63" s="16"/>
      <c r="AR63" s="2"/>
      <c r="AS63" s="2"/>
      <c r="AT63" s="2"/>
      <c r="AU63" s="2"/>
      <c r="AV63" s="12"/>
    </row>
    <row r="64" spans="1:54" ht="18.75" x14ac:dyDescent="0.3">
      <c r="A64" s="280"/>
      <c r="B64" s="135"/>
      <c r="C64" s="135"/>
      <c r="D64" s="135"/>
      <c r="E64" s="135"/>
      <c r="F64" s="135"/>
      <c r="G64" s="135"/>
      <c r="H64" s="135"/>
      <c r="I64" s="135"/>
      <c r="J64" s="135"/>
      <c r="K64" s="135"/>
      <c r="L64" s="135"/>
      <c r="M64" s="135"/>
      <c r="N64" s="135"/>
      <c r="O64" s="135"/>
      <c r="P64" s="135"/>
      <c r="Q64" s="124"/>
      <c r="R64" s="135"/>
      <c r="S64" s="124"/>
      <c r="T64" s="124"/>
      <c r="U64" s="124"/>
      <c r="V64" s="124"/>
      <c r="W64" s="135"/>
      <c r="X64" s="24"/>
      <c r="Y64" s="292"/>
      <c r="Z64" s="293"/>
      <c r="AA64" s="32"/>
      <c r="AB64" s="294"/>
      <c r="AC64" s="295" t="s">
        <v>16</v>
      </c>
      <c r="AD64" s="296">
        <f>SUM(AD33:AD63)</f>
        <v>0</v>
      </c>
      <c r="AE64" s="163"/>
      <c r="AF64" s="24"/>
      <c r="AG64" s="24"/>
      <c r="AH64" s="297"/>
      <c r="AI64" s="165"/>
      <c r="AJ64" s="163"/>
      <c r="AK64" s="163"/>
      <c r="AL64" s="124"/>
      <c r="AM64" s="124"/>
      <c r="AN64" s="36"/>
      <c r="AR64" s="2"/>
      <c r="AS64" s="2"/>
      <c r="AT64" s="2"/>
      <c r="AU64" s="2"/>
      <c r="AV64" s="12"/>
    </row>
    <row r="65" spans="1:55" ht="18.75" x14ac:dyDescent="0.3">
      <c r="A65" s="280"/>
      <c r="B65" s="135"/>
      <c r="C65" s="135"/>
      <c r="D65" s="135"/>
      <c r="E65" s="135"/>
      <c r="F65" s="135"/>
      <c r="G65" s="135"/>
      <c r="H65" s="135"/>
      <c r="I65" s="135"/>
      <c r="J65" s="135"/>
      <c r="K65" s="135"/>
      <c r="L65" s="135"/>
      <c r="M65" s="135"/>
      <c r="N65" s="135"/>
      <c r="O65" s="135"/>
      <c r="P65" s="135"/>
      <c r="Q65" s="124"/>
      <c r="R65" s="135"/>
      <c r="S65" s="124"/>
      <c r="T65" s="124"/>
      <c r="U65" s="124"/>
      <c r="V65" s="124"/>
      <c r="W65" s="135"/>
      <c r="X65" s="24"/>
      <c r="Y65" s="160"/>
      <c r="Z65" s="161"/>
      <c r="AA65" s="24"/>
      <c r="AB65" s="24"/>
      <c r="AC65" s="163"/>
      <c r="AD65" s="163"/>
      <c r="AE65" s="163"/>
      <c r="AF65" s="24"/>
      <c r="AG65" s="24"/>
      <c r="AH65" s="297"/>
      <c r="AI65" s="165"/>
      <c r="AJ65" s="163"/>
      <c r="AK65" s="163"/>
      <c r="AL65" s="24"/>
      <c r="AM65" s="308"/>
      <c r="AN65" s="16"/>
      <c r="AR65" s="2"/>
      <c r="AS65" s="2"/>
      <c r="AT65" s="2"/>
      <c r="AU65" s="2"/>
      <c r="AV65" s="2"/>
    </row>
    <row r="66" spans="1:55" ht="18.75" x14ac:dyDescent="0.3">
      <c r="A66" s="280"/>
      <c r="B66" s="135"/>
      <c r="C66" s="135"/>
      <c r="D66" s="135"/>
      <c r="E66" s="135"/>
      <c r="F66" s="135"/>
      <c r="G66" s="135"/>
      <c r="H66" s="135"/>
      <c r="I66" s="135"/>
      <c r="J66" s="135"/>
      <c r="K66" s="135"/>
      <c r="L66" s="135"/>
      <c r="M66" s="135"/>
      <c r="N66" s="135"/>
      <c r="O66" s="135"/>
      <c r="P66" s="135"/>
      <c r="Q66" s="124"/>
      <c r="R66" s="135"/>
      <c r="S66" s="124"/>
      <c r="T66" s="124"/>
      <c r="U66" s="124"/>
      <c r="V66" s="124"/>
      <c r="W66" s="135"/>
      <c r="X66" s="24"/>
      <c r="Y66" s="160"/>
      <c r="Z66" s="161"/>
      <c r="AA66" s="24"/>
      <c r="AB66" s="24"/>
      <c r="AC66" s="163"/>
      <c r="AD66" s="163"/>
      <c r="AE66" s="163"/>
      <c r="AF66" s="24"/>
      <c r="AG66" s="24"/>
      <c r="AH66" s="297"/>
      <c r="AI66" s="202" t="s">
        <v>76</v>
      </c>
      <c r="AJ66" s="163"/>
      <c r="AK66" s="163"/>
      <c r="AL66" s="24"/>
      <c r="AM66" s="308"/>
      <c r="AN66" s="16"/>
      <c r="AR66" s="2"/>
      <c r="AS66" s="2"/>
      <c r="AT66" s="2"/>
      <c r="AU66" s="2"/>
      <c r="AV66" s="2"/>
    </row>
    <row r="67" spans="1:55" ht="18.75" x14ac:dyDescent="0.3">
      <c r="A67" s="280"/>
      <c r="B67" s="135"/>
      <c r="C67" s="135"/>
      <c r="D67" s="135"/>
      <c r="E67" s="135"/>
      <c r="F67" s="135"/>
      <c r="G67" s="135"/>
      <c r="H67" s="135"/>
      <c r="I67" s="135"/>
      <c r="J67" s="135"/>
      <c r="K67" s="135"/>
      <c r="L67" s="135"/>
      <c r="M67" s="135"/>
      <c r="N67" s="135"/>
      <c r="O67" s="135"/>
      <c r="P67" s="135"/>
      <c r="Q67" s="124"/>
      <c r="R67" s="135"/>
      <c r="S67" s="124"/>
      <c r="T67" s="124"/>
      <c r="U67" s="124"/>
      <c r="V67" s="124"/>
      <c r="W67" s="135"/>
      <c r="X67" s="24"/>
      <c r="Y67" s="160"/>
      <c r="Z67" s="161"/>
      <c r="AA67" s="24"/>
      <c r="AB67" s="24"/>
      <c r="AC67" s="231" t="s">
        <v>16</v>
      </c>
      <c r="AD67" s="231">
        <f>AD30</f>
        <v>0</v>
      </c>
      <c r="AE67" s="163"/>
      <c r="AF67" s="24"/>
      <c r="AG67" s="24"/>
      <c r="AH67" s="297"/>
      <c r="AI67" s="233"/>
      <c r="AJ67" s="291">
        <f>AJ63</f>
        <v>0</v>
      </c>
      <c r="AK67" s="163"/>
      <c r="AL67" s="24"/>
      <c r="AM67" s="308"/>
      <c r="AN67" s="16"/>
      <c r="AR67" s="2"/>
      <c r="AS67" s="2"/>
      <c r="AT67" s="2"/>
      <c r="AU67" s="2"/>
      <c r="AV67" s="2"/>
    </row>
    <row r="68" spans="1:55" ht="18.75" x14ac:dyDescent="0.3">
      <c r="A68" s="280"/>
      <c r="B68" s="135"/>
      <c r="C68" s="135"/>
      <c r="D68" s="135"/>
      <c r="E68" s="135"/>
      <c r="F68" s="135"/>
      <c r="G68" s="135"/>
      <c r="H68" s="135"/>
      <c r="I68" s="135"/>
      <c r="J68" s="135"/>
      <c r="K68" s="135"/>
      <c r="L68" s="135"/>
      <c r="M68" s="135"/>
      <c r="N68" s="135"/>
      <c r="O68" s="135"/>
      <c r="P68" s="135"/>
      <c r="Q68" s="124"/>
      <c r="R68" s="135"/>
      <c r="S68" s="124"/>
      <c r="T68" s="124"/>
      <c r="U68" s="124"/>
      <c r="V68" s="124"/>
      <c r="W68" s="135"/>
      <c r="X68" s="24"/>
      <c r="Y68" s="160"/>
      <c r="Z68" s="161"/>
      <c r="AA68" s="24"/>
      <c r="AB68" s="24"/>
      <c r="AC68" s="295" t="s">
        <v>16</v>
      </c>
      <c r="AD68" s="296">
        <f>AD64</f>
        <v>0</v>
      </c>
      <c r="AE68" s="163"/>
      <c r="AF68" s="24"/>
      <c r="AG68" s="24"/>
      <c r="AH68" s="297"/>
      <c r="AI68" s="298" t="s">
        <v>32</v>
      </c>
      <c r="AJ68" s="295">
        <f>'JANV 2026'!AJ69</f>
        <v>0</v>
      </c>
      <c r="AK68" s="163"/>
      <c r="AL68" s="24"/>
      <c r="AM68" s="308"/>
      <c r="AN68" s="16"/>
      <c r="AR68" s="2"/>
      <c r="AS68" s="2"/>
      <c r="AT68" s="2"/>
      <c r="AU68" s="2"/>
      <c r="AV68" s="2"/>
      <c r="BC68" s="20"/>
    </row>
    <row r="69" spans="1:55" ht="18.75" x14ac:dyDescent="0.3">
      <c r="A69" s="280"/>
      <c r="B69" s="135"/>
      <c r="C69" s="135"/>
      <c r="D69" s="135"/>
      <c r="E69" s="135"/>
      <c r="F69" s="135"/>
      <c r="G69" s="135"/>
      <c r="H69" s="135"/>
      <c r="I69" s="135"/>
      <c r="J69" s="135"/>
      <c r="K69" s="135"/>
      <c r="L69" s="135"/>
      <c r="M69" s="135"/>
      <c r="N69" s="135"/>
      <c r="O69" s="135"/>
      <c r="P69" s="135"/>
      <c r="Q69" s="124"/>
      <c r="R69" s="135"/>
      <c r="S69" s="124"/>
      <c r="T69" s="124"/>
      <c r="U69" s="124"/>
      <c r="V69" s="124"/>
      <c r="W69" s="135"/>
      <c r="X69" s="24"/>
      <c r="Y69" s="160"/>
      <c r="Z69" s="161"/>
      <c r="AA69" s="24"/>
      <c r="AB69" s="24"/>
      <c r="AC69" s="299" t="s">
        <v>74</v>
      </c>
      <c r="AD69" s="299">
        <f>SUM(AD67:AD68)</f>
        <v>0</v>
      </c>
      <c r="AE69" s="163"/>
      <c r="AF69" s="24"/>
      <c r="AG69" s="24"/>
      <c r="AH69" s="297"/>
      <c r="AI69" s="298" t="s">
        <v>33</v>
      </c>
      <c r="AJ69" s="300">
        <f>SUM(AJ67:AJ68)</f>
        <v>0</v>
      </c>
      <c r="AK69" s="163"/>
      <c r="AL69" s="24"/>
      <c r="AM69" s="308"/>
      <c r="AN69" s="16"/>
      <c r="AR69" s="2"/>
      <c r="AS69" s="2"/>
      <c r="AT69" s="2"/>
      <c r="AU69" s="2"/>
      <c r="AV69" s="2"/>
      <c r="BC69" s="20"/>
    </row>
    <row r="70" spans="1:55" ht="18.75" x14ac:dyDescent="0.3">
      <c r="A70" s="1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X70" s="16"/>
      <c r="Y70" s="41"/>
      <c r="Z70" s="42"/>
      <c r="AA70" s="20"/>
      <c r="AB70" s="44"/>
      <c r="AC70" s="19"/>
      <c r="AD70" s="19"/>
      <c r="AE70" s="19"/>
      <c r="AF70" s="20"/>
      <c r="AG70" s="20"/>
      <c r="AH70" s="43"/>
      <c r="AI70" s="21"/>
      <c r="AJ70" s="22"/>
      <c r="AK70" s="17"/>
      <c r="AL70" s="16"/>
      <c r="AM70" s="39"/>
      <c r="AN70" s="22"/>
      <c r="AR70" s="2"/>
      <c r="AS70" s="2"/>
      <c r="AT70" s="2"/>
      <c r="AU70" s="2"/>
      <c r="AV70" s="2"/>
    </row>
    <row r="71" spans="1:55" ht="18.75" x14ac:dyDescent="0.3">
      <c r="A71" s="1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X71" s="16"/>
      <c r="Y71" s="45"/>
      <c r="Z71" s="46"/>
      <c r="AA71" s="47"/>
      <c r="AB71" s="47"/>
      <c r="AC71" s="48"/>
      <c r="AD71" s="48"/>
      <c r="AE71" s="19"/>
      <c r="AF71" s="20"/>
      <c r="AG71" s="20"/>
      <c r="AH71" s="43"/>
      <c r="AK71" s="17"/>
      <c r="AL71" s="16"/>
      <c r="AM71" s="39"/>
      <c r="AN71" s="22"/>
      <c r="BA71" s="7"/>
    </row>
    <row r="72" spans="1:55" ht="18.75" x14ac:dyDescent="0.3">
      <c r="A72" s="1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X72" s="16"/>
      <c r="Y72" s="45"/>
      <c r="Z72" s="46"/>
      <c r="AA72" s="47"/>
      <c r="AB72" s="47"/>
      <c r="AC72" s="19"/>
      <c r="AD72" s="19"/>
      <c r="AE72" s="19"/>
      <c r="AF72" s="20"/>
      <c r="AG72" s="20"/>
      <c r="AH72" s="43"/>
      <c r="AK72" s="17"/>
      <c r="AL72" s="16"/>
      <c r="AM72" s="39"/>
      <c r="AN72" s="22"/>
      <c r="AY72" s="7"/>
      <c r="BA72" s="7"/>
    </row>
    <row r="73" spans="1:55" ht="18.75" x14ac:dyDescent="0.3">
      <c r="A73" s="1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X73" s="16"/>
      <c r="Y73" s="41"/>
      <c r="Z73" s="42"/>
      <c r="AA73" s="20"/>
      <c r="AB73" s="20"/>
      <c r="AC73" s="19"/>
      <c r="AD73" s="19"/>
      <c r="AE73" s="19"/>
      <c r="AF73" s="20"/>
      <c r="AG73" s="20"/>
      <c r="AH73" s="49"/>
      <c r="AK73" s="17"/>
      <c r="AL73" s="16"/>
      <c r="AM73" s="40" t="s">
        <v>34</v>
      </c>
      <c r="AN73" s="16"/>
      <c r="AY73" s="7"/>
      <c r="BA73" s="7"/>
    </row>
    <row r="74" spans="1:55" x14ac:dyDescent="0.2">
      <c r="A74" s="1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AY74" s="2"/>
    </row>
    <row r="75" spans="1:55" x14ac:dyDescent="0.2">
      <c r="A75" s="1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AR75" s="2"/>
      <c r="AS75" s="2"/>
      <c r="AT75" s="2"/>
      <c r="AU75" s="2"/>
      <c r="AV75" s="2"/>
      <c r="AY75" s="2"/>
      <c r="AZ75" s="2"/>
      <c r="BA75" s="2"/>
      <c r="BB75" s="2"/>
    </row>
    <row r="76" spans="1:55" x14ac:dyDescent="0.2">
      <c r="A76" s="1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AR76" s="92"/>
      <c r="AS76" s="11"/>
      <c r="AT76" s="11"/>
      <c r="AU76" s="11"/>
      <c r="AV76" s="2"/>
      <c r="AY76" s="2"/>
      <c r="AZ76" s="2"/>
      <c r="BA76" s="12"/>
      <c r="BB76" s="2"/>
    </row>
    <row r="77" spans="1:55" x14ac:dyDescent="0.2">
      <c r="A77" s="12"/>
      <c r="B77" s="2"/>
      <c r="L77" s="2"/>
      <c r="M77" s="2"/>
      <c r="N77" s="2"/>
      <c r="O77" s="2"/>
      <c r="AR77" s="92"/>
      <c r="AS77" s="11"/>
      <c r="AT77" s="11"/>
      <c r="AU77" s="11"/>
      <c r="AV77" s="2"/>
      <c r="AY77" s="12"/>
      <c r="AZ77" s="2"/>
      <c r="BA77" s="12"/>
      <c r="BB77" s="2"/>
    </row>
    <row r="78" spans="1:55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AR78" s="92"/>
      <c r="AS78" s="11"/>
      <c r="AT78" s="11"/>
      <c r="AU78" s="11"/>
      <c r="AV78" s="2"/>
      <c r="AY78" s="12"/>
      <c r="AZ78" s="2"/>
      <c r="BA78" s="12"/>
      <c r="BB78" s="2"/>
    </row>
    <row r="79" spans="1:55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AR79" s="92"/>
      <c r="AS79" s="2"/>
      <c r="AT79" s="2"/>
      <c r="AU79" s="2"/>
      <c r="AV79" s="2"/>
      <c r="AY79" s="2"/>
      <c r="AZ79" s="2"/>
      <c r="BA79" s="12"/>
      <c r="BB79" s="2"/>
    </row>
    <row r="80" spans="1:55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AR80" s="2"/>
      <c r="AS80" s="11"/>
      <c r="AT80" s="11"/>
      <c r="AU80" s="11"/>
      <c r="AV80" s="2"/>
      <c r="AY80" s="2"/>
      <c r="AZ80" s="2"/>
      <c r="BA80" s="2"/>
      <c r="BB80" s="2"/>
    </row>
    <row r="81" spans="1:54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AR81" s="92"/>
      <c r="AS81" s="2"/>
      <c r="AT81" s="2"/>
      <c r="AU81" s="2"/>
      <c r="AV81" s="2"/>
      <c r="AY81" s="2"/>
      <c r="AZ81" s="2"/>
      <c r="BA81" s="2"/>
      <c r="BB81" s="2"/>
    </row>
    <row r="82" spans="1:54" x14ac:dyDescent="0.2">
      <c r="A82" s="2"/>
      <c r="B82" s="2"/>
      <c r="C82" s="2"/>
      <c r="D82" s="2"/>
      <c r="E82" s="2"/>
      <c r="F82" s="2"/>
      <c r="G82" s="2"/>
      <c r="H82" s="2"/>
      <c r="I82" s="2"/>
      <c r="J82" s="13"/>
      <c r="K82" s="2"/>
      <c r="L82" s="2"/>
      <c r="M82" s="2"/>
      <c r="N82" s="2"/>
      <c r="O82" s="2"/>
      <c r="P82" s="2"/>
      <c r="AR82" s="2"/>
      <c r="AS82" s="2"/>
      <c r="AT82" s="2"/>
      <c r="AU82" s="2"/>
      <c r="AV82" s="2"/>
      <c r="AY82" s="2"/>
      <c r="AZ82" s="2"/>
      <c r="BA82" s="2"/>
      <c r="BB82" s="2"/>
    </row>
    <row r="83" spans="1:54" x14ac:dyDescent="0.2">
      <c r="J83" s="13"/>
      <c r="K83" s="2"/>
      <c r="AR83" s="2"/>
      <c r="AS83" s="2"/>
      <c r="AT83" s="2"/>
      <c r="AU83" s="2"/>
      <c r="AV83" s="12"/>
      <c r="AY83" s="2"/>
      <c r="AZ83" s="2"/>
      <c r="BA83" s="2"/>
      <c r="BB83" s="2"/>
    </row>
    <row r="84" spans="1:54" x14ac:dyDescent="0.2">
      <c r="AR84" s="12"/>
      <c r="AS84" s="2"/>
      <c r="AT84" s="2"/>
      <c r="AU84" s="2"/>
      <c r="AV84" s="12"/>
      <c r="AY84" s="2"/>
      <c r="AZ84" s="2"/>
      <c r="BA84" s="2"/>
      <c r="BB84" s="2"/>
    </row>
    <row r="85" spans="1:54" x14ac:dyDescent="0.2">
      <c r="A85" s="2"/>
      <c r="B85" s="2"/>
      <c r="AR85" s="12"/>
      <c r="AS85" s="2"/>
      <c r="AT85" s="2"/>
      <c r="AU85" s="2"/>
      <c r="AV85" s="12"/>
    </row>
    <row r="86" spans="1:54" x14ac:dyDescent="0.2">
      <c r="A86" s="2"/>
      <c r="B86" s="2"/>
      <c r="C86" s="2"/>
      <c r="D86" s="2"/>
      <c r="E86" s="2"/>
      <c r="F86" s="6"/>
      <c r="I86" s="6"/>
      <c r="AR86" s="2"/>
      <c r="AS86" s="2"/>
      <c r="AT86" s="2"/>
      <c r="AU86" s="2"/>
      <c r="AV86" s="12"/>
    </row>
    <row r="87" spans="1:54" x14ac:dyDescent="0.2">
      <c r="C87" s="5"/>
      <c r="F87" s="6"/>
      <c r="AR87" s="2"/>
      <c r="AS87" s="2"/>
      <c r="AT87" s="2"/>
      <c r="AU87" s="2"/>
      <c r="AV87" s="12"/>
    </row>
    <row r="88" spans="1:54" x14ac:dyDescent="0.2">
      <c r="C88" s="5"/>
      <c r="AR88" s="2"/>
      <c r="AS88" s="2"/>
      <c r="AT88" s="2"/>
      <c r="AU88" s="2"/>
      <c r="AV88" s="12"/>
    </row>
    <row r="89" spans="1:54" x14ac:dyDescent="0.2">
      <c r="C89" s="5"/>
      <c r="AR89" s="2"/>
      <c r="AS89" s="2"/>
      <c r="AT89" s="2"/>
      <c r="AU89" s="2"/>
      <c r="AV89" s="2"/>
    </row>
    <row r="90" spans="1:54" x14ac:dyDescent="0.2">
      <c r="C90" s="5"/>
      <c r="AR90" s="2"/>
      <c r="AS90" s="2"/>
      <c r="AT90" s="2"/>
      <c r="AU90" s="2"/>
      <c r="AV90" s="2"/>
    </row>
    <row r="91" spans="1:54" x14ac:dyDescent="0.2">
      <c r="C91" s="5"/>
      <c r="AR91" s="2"/>
      <c r="AS91" s="2"/>
      <c r="AT91" s="2"/>
      <c r="AU91" s="2"/>
      <c r="AV91" s="2"/>
    </row>
    <row r="92" spans="1:54" x14ac:dyDescent="0.2">
      <c r="C92" s="5"/>
      <c r="AR92" s="2"/>
      <c r="AS92" s="2"/>
      <c r="AT92" s="2"/>
      <c r="AU92" s="2"/>
      <c r="AV92" s="2"/>
    </row>
    <row r="93" spans="1:54" x14ac:dyDescent="0.2">
      <c r="C93" s="5"/>
      <c r="AR93" s="2"/>
      <c r="AS93" s="2"/>
      <c r="AT93" s="2"/>
      <c r="AU93" s="2"/>
      <c r="AV93" s="2"/>
    </row>
    <row r="94" spans="1:54" x14ac:dyDescent="0.2">
      <c r="C94" s="5"/>
      <c r="AR94" s="2"/>
      <c r="AS94" s="11"/>
      <c r="AT94" s="11"/>
      <c r="AU94" s="11"/>
      <c r="AV94" s="2"/>
    </row>
    <row r="95" spans="1:54" x14ac:dyDescent="0.2">
      <c r="C95" s="5"/>
    </row>
    <row r="96" spans="1:54" x14ac:dyDescent="0.2">
      <c r="C96" s="5"/>
    </row>
    <row r="97" spans="3:3" x14ac:dyDescent="0.2">
      <c r="C97" s="5"/>
    </row>
    <row r="98" spans="3:3" x14ac:dyDescent="0.2">
      <c r="C98" s="5"/>
    </row>
    <row r="99" spans="3:3" x14ac:dyDescent="0.2">
      <c r="C99" s="5"/>
    </row>
    <row r="100" spans="3:3" x14ac:dyDescent="0.2">
      <c r="C100" s="5"/>
    </row>
    <row r="101" spans="3:3" x14ac:dyDescent="0.2">
      <c r="C101" s="5"/>
    </row>
    <row r="102" spans="3:3" x14ac:dyDescent="0.2">
      <c r="C102" s="5"/>
    </row>
    <row r="103" spans="3:3" x14ac:dyDescent="0.2">
      <c r="C103" s="5"/>
    </row>
    <row r="104" spans="3:3" x14ac:dyDescent="0.2">
      <c r="C104" s="5"/>
    </row>
    <row r="105" spans="3:3" x14ac:dyDescent="0.2">
      <c r="C105" s="5"/>
    </row>
    <row r="106" spans="3:3" x14ac:dyDescent="0.2">
      <c r="C106" s="5"/>
    </row>
    <row r="107" spans="3:3" x14ac:dyDescent="0.2">
      <c r="C107" s="5"/>
    </row>
    <row r="108" spans="3:3" x14ac:dyDescent="0.2">
      <c r="C108" s="5"/>
    </row>
    <row r="109" spans="3:3" x14ac:dyDescent="0.2">
      <c r="C109" s="5"/>
    </row>
    <row r="110" spans="3:3" x14ac:dyDescent="0.2">
      <c r="C110" s="5"/>
    </row>
    <row r="111" spans="3:3" x14ac:dyDescent="0.2">
      <c r="C111" s="5"/>
    </row>
    <row r="112" spans="3:3" x14ac:dyDescent="0.2">
      <c r="C112" s="5"/>
    </row>
    <row r="113" spans="3:3" x14ac:dyDescent="0.2">
      <c r="C113" s="5"/>
    </row>
    <row r="114" spans="3:3" x14ac:dyDescent="0.2">
      <c r="C114" s="5"/>
    </row>
    <row r="115" spans="3:3" x14ac:dyDescent="0.2">
      <c r="C115" s="5"/>
    </row>
    <row r="116" spans="3:3" x14ac:dyDescent="0.2">
      <c r="C116" s="5"/>
    </row>
    <row r="117" spans="3:3" x14ac:dyDescent="0.2">
      <c r="C117" s="5"/>
    </row>
  </sheetData>
  <pageMargins left="0.25" right="0.25" top="0.75" bottom="0.75" header="0.3" footer="0.3"/>
  <pageSetup paperSize="9" scale="83" fitToHeight="0" orientation="landscape" horizontalDpi="4294967292" verticalDpi="4294967292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published="0">
    <pageSetUpPr fitToPage="1"/>
  </sheetPr>
  <dimension ref="A1:BE117"/>
  <sheetViews>
    <sheetView topLeftCell="A16" zoomScale="70" zoomScaleNormal="70" zoomScalePageLayoutView="85" workbookViewId="0">
      <selection activeCell="Q46" sqref="Q46"/>
    </sheetView>
  </sheetViews>
  <sheetFormatPr baseColWidth="10" defaultColWidth="11" defaultRowHeight="12.75" x14ac:dyDescent="0.2"/>
  <cols>
    <col min="1" max="1" width="10.5" bestFit="1" customWidth="1"/>
    <col min="2" max="2" width="9.25" bestFit="1" customWidth="1"/>
    <col min="3" max="3" width="9" customWidth="1"/>
    <col min="4" max="4" width="8.25" customWidth="1"/>
    <col min="5" max="5" width="9.375" customWidth="1"/>
    <col min="6" max="6" width="9.25" customWidth="1"/>
    <col min="7" max="7" width="9.875" customWidth="1"/>
    <col min="8" max="8" width="9.375" customWidth="1"/>
    <col min="9" max="9" width="6.375" customWidth="1"/>
    <col min="10" max="10" width="8.375" customWidth="1"/>
    <col min="11" max="11" width="8.625" customWidth="1"/>
    <col min="12" max="12" width="7" customWidth="1"/>
    <col min="13" max="13" width="8.875" customWidth="1"/>
    <col min="14" max="14" width="11.25" bestFit="1" customWidth="1"/>
    <col min="15" max="15" width="8.75" customWidth="1"/>
    <col min="16" max="16" width="17.25" bestFit="1" customWidth="1"/>
    <col min="17" max="17" width="39.125" customWidth="1"/>
    <col min="18" max="18" width="11" style="2"/>
    <col min="19" max="19" width="8" customWidth="1"/>
    <col min="20" max="20" width="12.375" customWidth="1"/>
    <col min="21" max="21" width="2.625" customWidth="1"/>
    <col min="22" max="22" width="33.75" customWidth="1"/>
    <col min="23" max="23" width="9.375" style="2" customWidth="1"/>
    <col min="24" max="24" width="9.25" customWidth="1"/>
    <col min="25" max="25" width="15" bestFit="1" customWidth="1"/>
    <col min="26" max="26" width="10.375" customWidth="1"/>
    <col min="27" max="27" width="14.5" bestFit="1" customWidth="1"/>
    <col min="28" max="28" width="11.375" customWidth="1"/>
    <col min="29" max="29" width="11.25" bestFit="1" customWidth="1"/>
    <col min="30" max="30" width="8.75" customWidth="1"/>
    <col min="31" max="31" width="12.875" customWidth="1"/>
    <col min="32" max="32" width="13.875" bestFit="1" customWidth="1"/>
    <col min="33" max="33" width="12.375" customWidth="1"/>
    <col min="34" max="34" width="9.25" customWidth="1"/>
    <col min="35" max="35" width="16.75" bestFit="1" customWidth="1"/>
    <col min="36" max="36" width="9.5" bestFit="1" customWidth="1"/>
    <col min="37" max="37" width="9.875" customWidth="1"/>
    <col min="38" max="38" width="10.75" customWidth="1"/>
  </cols>
  <sheetData>
    <row r="1" spans="1:57" ht="19.5" thickBot="1" x14ac:dyDescent="0.35">
      <c r="A1" s="123">
        <v>44561</v>
      </c>
      <c r="B1" s="124"/>
      <c r="C1" s="125" t="s">
        <v>22</v>
      </c>
      <c r="D1" s="125"/>
      <c r="E1" s="125"/>
      <c r="F1" s="126"/>
      <c r="G1" s="127" t="s">
        <v>23</v>
      </c>
      <c r="H1" s="127"/>
      <c r="I1" s="127"/>
      <c r="J1" s="127"/>
      <c r="K1" s="127"/>
      <c r="L1" s="128"/>
      <c r="M1" s="129" t="s">
        <v>6</v>
      </c>
      <c r="N1" s="129"/>
      <c r="O1" s="129"/>
      <c r="P1" s="130" t="s">
        <v>19</v>
      </c>
      <c r="Q1" s="131" t="s">
        <v>11</v>
      </c>
      <c r="R1" s="132" t="s">
        <v>12</v>
      </c>
      <c r="S1" s="133" t="s">
        <v>0</v>
      </c>
      <c r="T1" s="134" t="s">
        <v>13</v>
      </c>
      <c r="U1" s="124"/>
      <c r="V1" s="124"/>
      <c r="W1" s="135"/>
      <c r="X1" s="24"/>
      <c r="Y1" s="136" t="s">
        <v>25</v>
      </c>
      <c r="Z1" s="137" t="s">
        <v>5</v>
      </c>
      <c r="AA1" s="138" t="s">
        <v>26</v>
      </c>
      <c r="AB1" s="138" t="s">
        <v>27</v>
      </c>
      <c r="AC1" s="139" t="s">
        <v>15</v>
      </c>
      <c r="AD1" s="139" t="s">
        <v>16</v>
      </c>
      <c r="AE1" s="139" t="s">
        <v>12</v>
      </c>
      <c r="AF1" s="138" t="s">
        <v>28</v>
      </c>
      <c r="AG1" s="138" t="s">
        <v>29</v>
      </c>
      <c r="AH1" s="140" t="s">
        <v>5</v>
      </c>
      <c r="AI1" s="141" t="s">
        <v>30</v>
      </c>
      <c r="AJ1" s="24"/>
      <c r="AK1" s="301"/>
      <c r="AL1" s="24"/>
      <c r="AM1" s="302"/>
      <c r="AN1" s="16"/>
    </row>
    <row r="2" spans="1:57" s="2" customFormat="1" ht="19.5" thickBot="1" x14ac:dyDescent="0.35">
      <c r="A2" s="142" t="s">
        <v>5</v>
      </c>
      <c r="B2" s="143" t="s">
        <v>20</v>
      </c>
      <c r="C2" s="144">
        <v>6</v>
      </c>
      <c r="D2" s="145">
        <v>12</v>
      </c>
      <c r="E2" s="144">
        <v>21</v>
      </c>
      <c r="F2" s="146" t="s">
        <v>0</v>
      </c>
      <c r="G2" s="147" t="s">
        <v>24</v>
      </c>
      <c r="H2" s="148" t="s">
        <v>1</v>
      </c>
      <c r="I2" s="147" t="s">
        <v>21</v>
      </c>
      <c r="J2" s="147" t="s">
        <v>81</v>
      </c>
      <c r="K2" s="149" t="s">
        <v>2</v>
      </c>
      <c r="L2" s="150" t="s">
        <v>8</v>
      </c>
      <c r="M2" s="151" t="s">
        <v>7</v>
      </c>
      <c r="N2" s="152" t="s">
        <v>4</v>
      </c>
      <c r="O2" s="153" t="s">
        <v>3</v>
      </c>
      <c r="P2" s="154">
        <f>'MARS 2026'!P33</f>
        <v>250</v>
      </c>
      <c r="Q2" s="155"/>
      <c r="R2" s="156"/>
      <c r="S2" s="157"/>
      <c r="T2" s="158"/>
      <c r="U2" s="135"/>
      <c r="V2" s="159"/>
      <c r="W2" s="135"/>
      <c r="X2" s="24"/>
      <c r="Y2" s="160"/>
      <c r="Z2" s="161"/>
      <c r="AA2" s="24"/>
      <c r="AB2" s="162">
        <v>44651</v>
      </c>
      <c r="AC2" s="163"/>
      <c r="AD2" s="163"/>
      <c r="AE2" s="163"/>
      <c r="AF2" s="24"/>
      <c r="AG2" s="24"/>
      <c r="AH2" s="164"/>
      <c r="AI2" s="165"/>
      <c r="AJ2" s="24"/>
      <c r="AK2" s="163"/>
      <c r="AL2" s="24"/>
      <c r="AM2" s="302"/>
      <c r="AN2" s="16"/>
      <c r="AO2"/>
      <c r="AP2"/>
      <c r="AQ2" s="100"/>
      <c r="AR2" s="100"/>
      <c r="AS2" s="100"/>
      <c r="AT2" s="100"/>
      <c r="AU2" s="100"/>
      <c r="AV2" s="100"/>
      <c r="AW2" s="100"/>
      <c r="AX2"/>
      <c r="AZ2"/>
      <c r="BA2"/>
      <c r="BB2"/>
      <c r="BC2" s="20"/>
      <c r="BE2"/>
    </row>
    <row r="3" spans="1:57" ht="16.5" thickBot="1" x14ac:dyDescent="0.3">
      <c r="A3" s="166">
        <v>44651</v>
      </c>
      <c r="B3" s="167"/>
      <c r="C3" s="168"/>
      <c r="D3" s="168"/>
      <c r="E3" s="169"/>
      <c r="F3" s="170">
        <f>SUM(B3:E3)</f>
        <v>0</v>
      </c>
      <c r="G3" s="171">
        <f>F3</f>
        <v>0</v>
      </c>
      <c r="H3" s="168"/>
      <c r="I3" s="168"/>
      <c r="J3" s="169"/>
      <c r="K3" s="172">
        <f t="shared" ref="K3:K33" si="0">SUM(F3-H3-J3-I3)</f>
        <v>0</v>
      </c>
      <c r="L3" s="173">
        <f t="shared" ref="L3:L33" si="1">SUM(F3-H3-J3-I3)</f>
        <v>0</v>
      </c>
      <c r="M3" s="174"/>
      <c r="N3" s="175"/>
      <c r="O3" s="176">
        <f>SUM(L3-M3-N3+P2)</f>
        <v>250</v>
      </c>
      <c r="P3" s="177"/>
      <c r="Q3" s="178"/>
      <c r="R3" s="179"/>
      <c r="S3" s="180"/>
      <c r="T3" s="181"/>
      <c r="U3" s="124"/>
      <c r="V3" s="124"/>
      <c r="W3" s="135"/>
      <c r="X3" s="182">
        <v>1</v>
      </c>
      <c r="Y3" s="310"/>
      <c r="Z3" s="311"/>
      <c r="AA3" s="312"/>
      <c r="AB3" s="312"/>
      <c r="AC3" s="313"/>
      <c r="AD3" s="313"/>
      <c r="AE3" s="314">
        <f t="shared" ref="AE3:AE9" si="2">SUM(AC3:AD3)</f>
        <v>0</v>
      </c>
      <c r="AF3" s="312"/>
      <c r="AG3" s="312"/>
      <c r="AH3" s="315"/>
      <c r="AI3" s="316"/>
      <c r="AJ3" s="314">
        <v>0</v>
      </c>
      <c r="AK3" s="23"/>
      <c r="AL3" s="24"/>
      <c r="AM3" s="302"/>
      <c r="AN3" s="24"/>
      <c r="AQ3" s="100"/>
      <c r="AR3" s="59"/>
      <c r="AS3" s="59"/>
      <c r="AT3" s="59"/>
      <c r="AU3" s="59"/>
      <c r="AV3" s="59"/>
      <c r="AW3" s="100"/>
      <c r="AY3" s="2"/>
      <c r="AZ3" s="2"/>
      <c r="BA3" s="2"/>
      <c r="BB3" s="2"/>
      <c r="BC3" s="20"/>
      <c r="BD3" s="2"/>
    </row>
    <row r="4" spans="1:57" ht="16.5" thickBot="1" x14ac:dyDescent="0.3">
      <c r="A4" s="166">
        <v>44652</v>
      </c>
      <c r="B4" s="190"/>
      <c r="C4" s="179"/>
      <c r="D4" s="179"/>
      <c r="E4" s="175"/>
      <c r="F4" s="170">
        <f t="shared" ref="F4:F33" si="3">SUM(B4:E4)</f>
        <v>0</v>
      </c>
      <c r="G4" s="171">
        <f t="shared" ref="G4:G33" si="4">F4</f>
        <v>0</v>
      </c>
      <c r="H4" s="179"/>
      <c r="I4" s="191"/>
      <c r="J4" s="175"/>
      <c r="K4" s="192">
        <f t="shared" si="0"/>
        <v>0</v>
      </c>
      <c r="L4" s="193">
        <f t="shared" si="1"/>
        <v>0</v>
      </c>
      <c r="M4" s="174"/>
      <c r="N4" s="194"/>
      <c r="O4" s="195">
        <f>SUM(L4-M4-N4+O3+P4)</f>
        <v>250</v>
      </c>
      <c r="P4" s="196"/>
      <c r="Q4" s="197"/>
      <c r="R4" s="179"/>
      <c r="S4" s="198"/>
      <c r="T4" s="199"/>
      <c r="U4" s="124"/>
      <c r="V4" s="124"/>
      <c r="W4" s="135"/>
      <c r="X4" s="182">
        <v>2</v>
      </c>
      <c r="Y4" s="317"/>
      <c r="Z4" s="318"/>
      <c r="AA4" s="319"/>
      <c r="AB4" s="319"/>
      <c r="AC4" s="314"/>
      <c r="AD4" s="314"/>
      <c r="AE4" s="314">
        <f t="shared" si="2"/>
        <v>0</v>
      </c>
      <c r="AF4" s="319"/>
      <c r="AG4" s="319"/>
      <c r="AH4" s="315"/>
      <c r="AI4" s="316"/>
      <c r="AJ4" s="314">
        <f>AE4</f>
        <v>0</v>
      </c>
      <c r="AK4" s="25"/>
      <c r="AL4" s="124"/>
      <c r="AM4" s="124"/>
      <c r="AN4" s="28"/>
      <c r="AQ4" s="100"/>
      <c r="AR4" s="70"/>
      <c r="AS4" s="71"/>
      <c r="AT4" s="71"/>
      <c r="AU4" s="71"/>
      <c r="AV4" s="59"/>
      <c r="AW4" s="100"/>
      <c r="AY4" s="2"/>
      <c r="AZ4" s="2"/>
      <c r="BA4" s="12"/>
      <c r="BB4" s="2"/>
    </row>
    <row r="5" spans="1:57" ht="16.5" thickBot="1" x14ac:dyDescent="0.3">
      <c r="A5" s="166">
        <v>44653</v>
      </c>
      <c r="B5" s="190"/>
      <c r="C5" s="179"/>
      <c r="D5" s="179"/>
      <c r="E5" s="175"/>
      <c r="F5" s="170">
        <f t="shared" si="3"/>
        <v>0</v>
      </c>
      <c r="G5" s="171">
        <f t="shared" si="4"/>
        <v>0</v>
      </c>
      <c r="H5" s="179"/>
      <c r="I5" s="191"/>
      <c r="J5" s="175"/>
      <c r="K5" s="192">
        <f t="shared" si="0"/>
        <v>0</v>
      </c>
      <c r="L5" s="193">
        <f t="shared" si="1"/>
        <v>0</v>
      </c>
      <c r="M5" s="174"/>
      <c r="N5" s="194"/>
      <c r="O5" s="195">
        <f>SUM(L5-M5-N5+O4+P5)</f>
        <v>250</v>
      </c>
      <c r="P5" s="196"/>
      <c r="Q5" s="178"/>
      <c r="R5" s="179"/>
      <c r="S5" s="180"/>
      <c r="T5" s="181"/>
      <c r="U5" s="124"/>
      <c r="V5" s="124"/>
      <c r="W5" s="135"/>
      <c r="X5" s="182">
        <v>3</v>
      </c>
      <c r="Y5" s="317"/>
      <c r="Z5" s="318"/>
      <c r="AA5" s="319"/>
      <c r="AB5" s="319"/>
      <c r="AC5" s="313"/>
      <c r="AD5" s="313"/>
      <c r="AE5" s="314">
        <f t="shared" si="2"/>
        <v>0</v>
      </c>
      <c r="AF5" s="319"/>
      <c r="AG5" s="319"/>
      <c r="AH5" s="315"/>
      <c r="AI5" s="316"/>
      <c r="AJ5" s="314">
        <v>0</v>
      </c>
      <c r="AK5" s="25"/>
      <c r="AL5" s="124"/>
      <c r="AM5" s="124"/>
      <c r="AN5" s="32"/>
      <c r="AQ5" s="100"/>
      <c r="AR5" s="70"/>
      <c r="AS5" s="71"/>
      <c r="AT5" s="71"/>
      <c r="AU5" s="71"/>
      <c r="AV5" s="59"/>
      <c r="AW5" s="100"/>
      <c r="AY5" s="12"/>
      <c r="AZ5" s="2"/>
      <c r="BA5" s="12"/>
      <c r="BB5" s="2"/>
    </row>
    <row r="6" spans="1:57" ht="19.5" thickBot="1" x14ac:dyDescent="0.35">
      <c r="A6" s="166">
        <v>44654</v>
      </c>
      <c r="B6" s="190"/>
      <c r="C6" s="179"/>
      <c r="D6" s="179"/>
      <c r="E6" s="175"/>
      <c r="F6" s="170">
        <f t="shared" si="3"/>
        <v>0</v>
      </c>
      <c r="G6" s="171">
        <f t="shared" si="4"/>
        <v>0</v>
      </c>
      <c r="H6" s="179"/>
      <c r="I6" s="191"/>
      <c r="J6" s="175"/>
      <c r="K6" s="192">
        <f t="shared" si="0"/>
        <v>0</v>
      </c>
      <c r="L6" s="193">
        <f t="shared" si="1"/>
        <v>0</v>
      </c>
      <c r="M6" s="174"/>
      <c r="N6" s="194"/>
      <c r="O6" s="195">
        <f>SUM(L6-M6-N6+O5+P6)</f>
        <v>250</v>
      </c>
      <c r="P6" s="196"/>
      <c r="Q6" s="178"/>
      <c r="R6" s="179"/>
      <c r="S6" s="198"/>
      <c r="T6" s="199"/>
      <c r="U6" s="124"/>
      <c r="V6" s="124"/>
      <c r="W6" s="135"/>
      <c r="X6" s="182">
        <v>4</v>
      </c>
      <c r="Y6" s="310"/>
      <c r="Z6" s="311"/>
      <c r="AA6" s="312"/>
      <c r="AB6" s="320"/>
      <c r="AC6" s="313"/>
      <c r="AD6" s="313"/>
      <c r="AE6" s="314">
        <f t="shared" si="2"/>
        <v>0</v>
      </c>
      <c r="AF6" s="312"/>
      <c r="AG6" s="312"/>
      <c r="AH6" s="315"/>
      <c r="AI6" s="316"/>
      <c r="AJ6" s="314">
        <v>0</v>
      </c>
      <c r="AK6" s="301"/>
      <c r="AL6" s="124"/>
      <c r="AM6" s="124"/>
      <c r="AN6" s="34"/>
      <c r="AQ6" s="100"/>
      <c r="AR6" s="70"/>
      <c r="AS6" s="71"/>
      <c r="AT6" s="71"/>
      <c r="AU6" s="71"/>
      <c r="AV6" s="59"/>
      <c r="AW6" s="100"/>
      <c r="AY6" s="12"/>
      <c r="AZ6" s="2"/>
      <c r="BA6" s="12"/>
      <c r="BB6" s="2"/>
    </row>
    <row r="7" spans="1:57" ht="16.5" thickBot="1" x14ac:dyDescent="0.3">
      <c r="A7" s="166">
        <v>44655</v>
      </c>
      <c r="B7" s="190"/>
      <c r="C7" s="179"/>
      <c r="D7" s="179"/>
      <c r="E7" s="175"/>
      <c r="F7" s="170">
        <f t="shared" si="3"/>
        <v>0</v>
      </c>
      <c r="G7" s="171">
        <f t="shared" si="4"/>
        <v>0</v>
      </c>
      <c r="H7" s="179"/>
      <c r="I7" s="191"/>
      <c r="J7" s="175"/>
      <c r="K7" s="192">
        <f t="shared" si="0"/>
        <v>0</v>
      </c>
      <c r="L7" s="193">
        <f t="shared" si="1"/>
        <v>0</v>
      </c>
      <c r="M7" s="174"/>
      <c r="N7" s="194"/>
      <c r="O7" s="195">
        <f>SUM(L7-M7-N7+O6+P7)</f>
        <v>250</v>
      </c>
      <c r="P7" s="196"/>
      <c r="Q7" s="178"/>
      <c r="R7" s="179"/>
      <c r="S7" s="180"/>
      <c r="T7" s="199"/>
      <c r="U7" s="124"/>
      <c r="V7" s="124"/>
      <c r="W7" s="135"/>
      <c r="X7" s="182">
        <v>5</v>
      </c>
      <c r="Y7" s="317"/>
      <c r="Z7" s="318"/>
      <c r="AA7" s="319"/>
      <c r="AB7" s="319"/>
      <c r="AC7" s="314"/>
      <c r="AD7" s="314"/>
      <c r="AE7" s="314">
        <f t="shared" si="2"/>
        <v>0</v>
      </c>
      <c r="AF7" s="319"/>
      <c r="AG7" s="312"/>
      <c r="AH7" s="315"/>
      <c r="AI7" s="316"/>
      <c r="AJ7" s="314">
        <v>0</v>
      </c>
      <c r="AK7" s="23"/>
      <c r="AL7" s="124"/>
      <c r="AM7" s="124"/>
      <c r="AN7" s="24"/>
      <c r="AQ7" s="100"/>
      <c r="AR7" s="70"/>
      <c r="AS7" s="59"/>
      <c r="AT7" s="59"/>
      <c r="AU7" s="71"/>
      <c r="AV7" s="59"/>
      <c r="AW7" s="100"/>
      <c r="AY7" s="2"/>
      <c r="AZ7" s="2"/>
      <c r="BA7" s="12"/>
      <c r="BB7" s="2"/>
    </row>
    <row r="8" spans="1:57" ht="19.5" thickBot="1" x14ac:dyDescent="0.35">
      <c r="A8" s="166">
        <v>44656</v>
      </c>
      <c r="B8" s="190"/>
      <c r="C8" s="179"/>
      <c r="D8" s="179"/>
      <c r="E8" s="175"/>
      <c r="F8" s="170">
        <f t="shared" si="3"/>
        <v>0</v>
      </c>
      <c r="G8" s="171">
        <f t="shared" si="4"/>
        <v>0</v>
      </c>
      <c r="H8" s="179"/>
      <c r="I8" s="191"/>
      <c r="J8" s="175"/>
      <c r="K8" s="192">
        <f t="shared" si="0"/>
        <v>0</v>
      </c>
      <c r="L8" s="193">
        <f t="shared" si="1"/>
        <v>0</v>
      </c>
      <c r="M8" s="209"/>
      <c r="N8" s="194"/>
      <c r="O8" s="195">
        <f>SUM(L8-M8-N8+O7+P8)</f>
        <v>250</v>
      </c>
      <c r="P8" s="196"/>
      <c r="Q8" s="178"/>
      <c r="R8" s="179"/>
      <c r="S8" s="180"/>
      <c r="T8" s="199"/>
      <c r="U8" s="124"/>
      <c r="V8" s="124"/>
      <c r="W8" s="135"/>
      <c r="X8" s="182">
        <v>6</v>
      </c>
      <c r="Y8" s="310"/>
      <c r="Z8" s="311"/>
      <c r="AA8" s="312"/>
      <c r="AB8" s="312"/>
      <c r="AC8" s="313"/>
      <c r="AD8" s="313"/>
      <c r="AE8" s="314">
        <f t="shared" si="2"/>
        <v>0</v>
      </c>
      <c r="AF8" s="319"/>
      <c r="AG8" s="312"/>
      <c r="AH8" s="315"/>
      <c r="AI8" s="316"/>
      <c r="AJ8" s="314">
        <v>0</v>
      </c>
      <c r="AK8" s="163"/>
      <c r="AL8" s="124"/>
      <c r="AM8" s="124"/>
      <c r="AN8" s="34"/>
      <c r="AQ8" s="100"/>
      <c r="AR8" s="59"/>
      <c r="AS8" s="71"/>
      <c r="AT8" s="71"/>
      <c r="AU8" s="71"/>
      <c r="AV8" s="59"/>
      <c r="AW8" s="100"/>
      <c r="AY8" s="2"/>
      <c r="AZ8" s="2"/>
      <c r="BA8" s="2"/>
      <c r="BB8" s="2"/>
    </row>
    <row r="9" spans="1:57" ht="16.5" thickBot="1" x14ac:dyDescent="0.3">
      <c r="A9" s="166">
        <v>44657</v>
      </c>
      <c r="B9" s="190"/>
      <c r="C9" s="179"/>
      <c r="D9" s="179"/>
      <c r="E9" s="175"/>
      <c r="F9" s="170">
        <f t="shared" si="3"/>
        <v>0</v>
      </c>
      <c r="G9" s="171">
        <f t="shared" si="4"/>
        <v>0</v>
      </c>
      <c r="H9" s="179"/>
      <c r="I9" s="191"/>
      <c r="J9" s="175"/>
      <c r="K9" s="192">
        <f t="shared" si="0"/>
        <v>0</v>
      </c>
      <c r="L9" s="193">
        <f t="shared" si="1"/>
        <v>0</v>
      </c>
      <c r="M9" s="174"/>
      <c r="N9" s="194"/>
      <c r="O9" s="195">
        <f t="shared" ref="O9:O33" si="5">SUM(L9-M9-N9+O8)</f>
        <v>250</v>
      </c>
      <c r="P9" s="196"/>
      <c r="Q9" s="178"/>
      <c r="R9" s="179"/>
      <c r="S9" s="180"/>
      <c r="T9" s="199"/>
      <c r="U9" s="124"/>
      <c r="V9" s="124"/>
      <c r="W9" s="135"/>
      <c r="X9" s="182">
        <v>7</v>
      </c>
      <c r="Y9" s="200"/>
      <c r="Z9" s="201"/>
      <c r="AA9" s="182"/>
      <c r="AB9" s="182"/>
      <c r="AC9" s="210"/>
      <c r="AD9" s="210"/>
      <c r="AE9" s="108">
        <f t="shared" si="2"/>
        <v>0</v>
      </c>
      <c r="AF9" s="182"/>
      <c r="AG9" s="182"/>
      <c r="AH9" s="202"/>
      <c r="AI9" s="203"/>
      <c r="AJ9" s="108">
        <f>AE9</f>
        <v>0</v>
      </c>
      <c r="AK9" s="163"/>
      <c r="AL9" s="124"/>
      <c r="AM9" s="124"/>
      <c r="AN9" s="24"/>
      <c r="AQ9" s="100"/>
      <c r="AR9" s="70"/>
      <c r="AS9" s="59"/>
      <c r="AT9" s="59"/>
      <c r="AU9" s="59"/>
      <c r="AV9" s="59"/>
      <c r="AW9" s="100"/>
      <c r="AY9" s="2"/>
      <c r="AZ9" s="2"/>
      <c r="BA9" s="2"/>
      <c r="BB9" s="2"/>
    </row>
    <row r="10" spans="1:57" ht="19.5" thickBot="1" x14ac:dyDescent="0.35">
      <c r="A10" s="166">
        <v>44658</v>
      </c>
      <c r="B10" s="190"/>
      <c r="C10" s="179"/>
      <c r="D10" s="179"/>
      <c r="E10" s="175"/>
      <c r="F10" s="170">
        <f t="shared" si="3"/>
        <v>0</v>
      </c>
      <c r="G10" s="171">
        <f t="shared" si="4"/>
        <v>0</v>
      </c>
      <c r="H10" s="179"/>
      <c r="I10" s="191"/>
      <c r="J10" s="175"/>
      <c r="K10" s="192">
        <f t="shared" si="0"/>
        <v>0</v>
      </c>
      <c r="L10" s="193">
        <f t="shared" si="1"/>
        <v>0</v>
      </c>
      <c r="M10" s="174"/>
      <c r="N10" s="194"/>
      <c r="O10" s="195">
        <f t="shared" si="5"/>
        <v>250</v>
      </c>
      <c r="P10" s="196"/>
      <c r="Q10" s="178"/>
      <c r="R10" s="179"/>
      <c r="S10" s="180"/>
      <c r="T10" s="199"/>
      <c r="U10" s="124"/>
      <c r="V10" s="124"/>
      <c r="W10" s="135"/>
      <c r="X10" s="182">
        <v>8</v>
      </c>
      <c r="Y10" s="200"/>
      <c r="Z10" s="201"/>
      <c r="AA10" s="182"/>
      <c r="AB10" s="182"/>
      <c r="AC10" s="210"/>
      <c r="AD10" s="210"/>
      <c r="AE10" s="108">
        <f t="shared" ref="AE10:AE29" si="6">SUM(AC10:AD10)</f>
        <v>0</v>
      </c>
      <c r="AF10" s="182"/>
      <c r="AG10" s="182"/>
      <c r="AH10" s="202"/>
      <c r="AI10" s="203"/>
      <c r="AJ10" s="108">
        <f t="shared" ref="AJ10:AJ29" si="7">AE10</f>
        <v>0</v>
      </c>
      <c r="AK10" s="163"/>
      <c r="AL10" s="124"/>
      <c r="AM10" s="124"/>
      <c r="AN10" s="22"/>
      <c r="AQ10" s="100"/>
      <c r="AR10" s="59"/>
      <c r="AS10" s="59"/>
      <c r="AT10" s="59"/>
      <c r="AU10" s="59"/>
      <c r="AV10" s="59"/>
      <c r="AW10" s="100"/>
      <c r="AY10" s="2"/>
      <c r="AZ10" s="2"/>
      <c r="BA10" s="2"/>
      <c r="BB10" s="2"/>
    </row>
    <row r="11" spans="1:57" ht="19.5" thickBot="1" x14ac:dyDescent="0.35">
      <c r="A11" s="166">
        <v>44659</v>
      </c>
      <c r="B11" s="190"/>
      <c r="C11" s="179"/>
      <c r="D11" s="179"/>
      <c r="E11" s="175"/>
      <c r="F11" s="170">
        <f t="shared" si="3"/>
        <v>0</v>
      </c>
      <c r="G11" s="171">
        <f t="shared" si="4"/>
        <v>0</v>
      </c>
      <c r="H11" s="179"/>
      <c r="I11" s="191"/>
      <c r="J11" s="175"/>
      <c r="K11" s="192">
        <f t="shared" si="0"/>
        <v>0</v>
      </c>
      <c r="L11" s="193">
        <f t="shared" si="1"/>
        <v>0</v>
      </c>
      <c r="M11" s="174"/>
      <c r="N11" s="194"/>
      <c r="O11" s="195">
        <f t="shared" si="5"/>
        <v>250</v>
      </c>
      <c r="P11" s="196"/>
      <c r="Q11" s="211"/>
      <c r="R11" s="212"/>
      <c r="S11" s="198"/>
      <c r="T11" s="213"/>
      <c r="U11" s="124"/>
      <c r="V11" s="124"/>
      <c r="W11" s="135"/>
      <c r="X11" s="182">
        <v>9</v>
      </c>
      <c r="Y11" s="200"/>
      <c r="Z11" s="201"/>
      <c r="AA11" s="182"/>
      <c r="AB11" s="182"/>
      <c r="AC11" s="108"/>
      <c r="AD11" s="108"/>
      <c r="AE11" s="108">
        <f t="shared" si="6"/>
        <v>0</v>
      </c>
      <c r="AF11" s="182"/>
      <c r="AG11" s="182"/>
      <c r="AH11" s="202"/>
      <c r="AI11" s="203"/>
      <c r="AJ11" s="108">
        <f t="shared" si="7"/>
        <v>0</v>
      </c>
      <c r="AK11" s="163"/>
      <c r="AL11" s="124"/>
      <c r="AM11" s="124"/>
      <c r="AN11" s="22"/>
      <c r="AQ11" s="100"/>
      <c r="AR11" s="59"/>
      <c r="AS11" s="59"/>
      <c r="AT11" s="59"/>
      <c r="AU11" s="59"/>
      <c r="AV11" s="75"/>
      <c r="AW11" s="100"/>
      <c r="AY11" s="2"/>
      <c r="AZ11" s="2"/>
      <c r="BA11" s="2"/>
      <c r="BB11" s="2"/>
    </row>
    <row r="12" spans="1:57" ht="19.5" thickBot="1" x14ac:dyDescent="0.35">
      <c r="A12" s="166">
        <v>44660</v>
      </c>
      <c r="B12" s="190"/>
      <c r="C12" s="179"/>
      <c r="D12" s="179"/>
      <c r="E12" s="175"/>
      <c r="F12" s="170">
        <f t="shared" si="3"/>
        <v>0</v>
      </c>
      <c r="G12" s="171">
        <f t="shared" si="4"/>
        <v>0</v>
      </c>
      <c r="H12" s="179"/>
      <c r="I12" s="191"/>
      <c r="J12" s="175"/>
      <c r="K12" s="192">
        <f t="shared" si="0"/>
        <v>0</v>
      </c>
      <c r="L12" s="193">
        <f t="shared" si="1"/>
        <v>0</v>
      </c>
      <c r="M12" s="214"/>
      <c r="N12" s="194"/>
      <c r="O12" s="195">
        <f t="shared" si="5"/>
        <v>250</v>
      </c>
      <c r="P12" s="196"/>
      <c r="Q12" s="211"/>
      <c r="R12" s="212"/>
      <c r="S12" s="198"/>
      <c r="T12" s="213"/>
      <c r="U12" s="124"/>
      <c r="V12" s="124"/>
      <c r="W12" s="135"/>
      <c r="X12" s="182">
        <v>10</v>
      </c>
      <c r="Y12" s="200"/>
      <c r="Z12" s="201"/>
      <c r="AA12" s="182"/>
      <c r="AB12" s="182"/>
      <c r="AC12" s="108"/>
      <c r="AD12" s="108"/>
      <c r="AE12" s="108">
        <f t="shared" si="6"/>
        <v>0</v>
      </c>
      <c r="AF12" s="182"/>
      <c r="AG12" s="182"/>
      <c r="AH12" s="202"/>
      <c r="AI12" s="203"/>
      <c r="AJ12" s="108">
        <f t="shared" si="7"/>
        <v>0</v>
      </c>
      <c r="AK12" s="163"/>
      <c r="AL12" s="124"/>
      <c r="AM12" s="124"/>
      <c r="AN12" s="22"/>
      <c r="AQ12" s="100"/>
      <c r="AR12" s="75"/>
      <c r="AS12" s="59"/>
      <c r="AT12" s="59"/>
      <c r="AU12" s="59"/>
      <c r="AV12" s="75"/>
      <c r="AW12" s="100"/>
      <c r="AY12" s="2"/>
      <c r="AZ12" s="2"/>
      <c r="BA12" s="2"/>
      <c r="BB12" s="2"/>
    </row>
    <row r="13" spans="1:57" ht="19.5" thickBot="1" x14ac:dyDescent="0.35">
      <c r="A13" s="166">
        <v>44661</v>
      </c>
      <c r="B13" s="190"/>
      <c r="C13" s="179"/>
      <c r="D13" s="179"/>
      <c r="E13" s="175"/>
      <c r="F13" s="170">
        <f t="shared" si="3"/>
        <v>0</v>
      </c>
      <c r="G13" s="171">
        <f t="shared" si="4"/>
        <v>0</v>
      </c>
      <c r="H13" s="179"/>
      <c r="I13" s="191"/>
      <c r="J13" s="175"/>
      <c r="K13" s="192">
        <f t="shared" si="0"/>
        <v>0</v>
      </c>
      <c r="L13" s="193">
        <f t="shared" si="1"/>
        <v>0</v>
      </c>
      <c r="M13" s="174"/>
      <c r="N13" s="194"/>
      <c r="O13" s="195">
        <f t="shared" si="5"/>
        <v>250</v>
      </c>
      <c r="P13" s="196"/>
      <c r="Q13" s="215"/>
      <c r="R13" s="212"/>
      <c r="S13" s="198"/>
      <c r="T13" s="199"/>
      <c r="U13" s="124"/>
      <c r="V13" s="124"/>
      <c r="W13" s="135"/>
      <c r="X13" s="182">
        <v>11</v>
      </c>
      <c r="Y13" s="200"/>
      <c r="Z13" s="201"/>
      <c r="AA13" s="182"/>
      <c r="AB13" s="182"/>
      <c r="AC13" s="108"/>
      <c r="AD13" s="108"/>
      <c r="AE13" s="108">
        <f t="shared" si="6"/>
        <v>0</v>
      </c>
      <c r="AF13" s="182"/>
      <c r="AG13" s="216"/>
      <c r="AH13" s="202"/>
      <c r="AI13" s="203"/>
      <c r="AJ13" s="108">
        <f t="shared" si="7"/>
        <v>0</v>
      </c>
      <c r="AK13" s="301"/>
      <c r="AL13" s="124"/>
      <c r="AM13" s="124"/>
      <c r="AN13" s="16"/>
      <c r="AQ13" s="100"/>
      <c r="AR13" s="75"/>
      <c r="AS13" s="59"/>
      <c r="AT13" s="59"/>
      <c r="AU13" s="59"/>
      <c r="AV13" s="75"/>
      <c r="AW13" s="100"/>
    </row>
    <row r="14" spans="1:57" ht="19.5" thickBot="1" x14ac:dyDescent="0.35">
      <c r="A14" s="166">
        <v>44662</v>
      </c>
      <c r="B14" s="190"/>
      <c r="C14" s="179"/>
      <c r="D14" s="179"/>
      <c r="E14" s="175"/>
      <c r="F14" s="170">
        <f t="shared" si="3"/>
        <v>0</v>
      </c>
      <c r="G14" s="171">
        <f t="shared" si="4"/>
        <v>0</v>
      </c>
      <c r="H14" s="179"/>
      <c r="I14" s="191"/>
      <c r="J14" s="175"/>
      <c r="K14" s="192">
        <f t="shared" si="0"/>
        <v>0</v>
      </c>
      <c r="L14" s="193">
        <f t="shared" si="1"/>
        <v>0</v>
      </c>
      <c r="M14" s="174"/>
      <c r="N14" s="194"/>
      <c r="O14" s="195">
        <f t="shared" si="5"/>
        <v>250</v>
      </c>
      <c r="P14" s="196"/>
      <c r="Q14" s="215"/>
      <c r="R14" s="212"/>
      <c r="S14" s="198"/>
      <c r="T14" s="199"/>
      <c r="U14" s="124"/>
      <c r="V14" s="124"/>
      <c r="W14" s="135"/>
      <c r="X14" s="182">
        <v>12</v>
      </c>
      <c r="Y14" s="217"/>
      <c r="Z14" s="201"/>
      <c r="AA14" s="182"/>
      <c r="AB14" s="182"/>
      <c r="AC14" s="210"/>
      <c r="AD14" s="210"/>
      <c r="AE14" s="108">
        <f t="shared" si="6"/>
        <v>0</v>
      </c>
      <c r="AF14" s="182"/>
      <c r="AG14" s="216"/>
      <c r="AH14" s="202"/>
      <c r="AI14" s="203"/>
      <c r="AJ14" s="108">
        <f t="shared" si="7"/>
        <v>0</v>
      </c>
      <c r="AK14" s="301"/>
      <c r="AL14" s="124"/>
      <c r="AM14" s="124"/>
      <c r="AN14" s="16"/>
      <c r="AO14" s="4"/>
      <c r="AQ14" s="100"/>
      <c r="AR14" s="59"/>
      <c r="AS14" s="59"/>
      <c r="AT14" s="59"/>
      <c r="AU14" s="59"/>
      <c r="AV14" s="75"/>
      <c r="AW14" s="100"/>
    </row>
    <row r="15" spans="1:57" ht="19.5" thickBot="1" x14ac:dyDescent="0.35">
      <c r="A15" s="166">
        <v>44663</v>
      </c>
      <c r="B15" s="190"/>
      <c r="C15" s="179"/>
      <c r="D15" s="179"/>
      <c r="E15" s="175"/>
      <c r="F15" s="170">
        <f t="shared" si="3"/>
        <v>0</v>
      </c>
      <c r="G15" s="171">
        <f t="shared" si="4"/>
        <v>0</v>
      </c>
      <c r="H15" s="179"/>
      <c r="I15" s="191"/>
      <c r="J15" s="175"/>
      <c r="K15" s="192">
        <f t="shared" si="0"/>
        <v>0</v>
      </c>
      <c r="L15" s="193">
        <f t="shared" si="1"/>
        <v>0</v>
      </c>
      <c r="M15" s="174"/>
      <c r="N15" s="194"/>
      <c r="O15" s="195">
        <f t="shared" si="5"/>
        <v>250</v>
      </c>
      <c r="P15" s="196"/>
      <c r="Q15" s="218"/>
      <c r="R15" s="179"/>
      <c r="S15" s="180"/>
      <c r="T15" s="199"/>
      <c r="U15" s="124"/>
      <c r="V15" s="124"/>
      <c r="W15" s="135"/>
      <c r="X15" s="182">
        <v>13</v>
      </c>
      <c r="Y15" s="200"/>
      <c r="Z15" s="201"/>
      <c r="AA15" s="182"/>
      <c r="AB15" s="182"/>
      <c r="AC15" s="210"/>
      <c r="AD15" s="210"/>
      <c r="AE15" s="108">
        <f t="shared" si="6"/>
        <v>0</v>
      </c>
      <c r="AF15" s="182"/>
      <c r="AG15" s="182"/>
      <c r="AH15" s="202"/>
      <c r="AI15" s="203"/>
      <c r="AJ15" s="108">
        <f t="shared" si="7"/>
        <v>0</v>
      </c>
      <c r="AK15" s="301"/>
      <c r="AL15" s="124"/>
      <c r="AM15" s="124"/>
      <c r="AN15" s="16"/>
      <c r="AQ15" s="100"/>
      <c r="AR15" s="59"/>
      <c r="AS15" s="59"/>
      <c r="AT15" s="59"/>
      <c r="AU15" s="59"/>
      <c r="AV15" s="75"/>
      <c r="AW15" s="100"/>
    </row>
    <row r="16" spans="1:57" ht="19.5" thickBot="1" x14ac:dyDescent="0.35">
      <c r="A16" s="166">
        <v>44664</v>
      </c>
      <c r="B16" s="190"/>
      <c r="C16" s="179"/>
      <c r="D16" s="179"/>
      <c r="E16" s="175"/>
      <c r="F16" s="170">
        <f t="shared" si="3"/>
        <v>0</v>
      </c>
      <c r="G16" s="171">
        <f t="shared" si="4"/>
        <v>0</v>
      </c>
      <c r="H16" s="179"/>
      <c r="I16" s="191"/>
      <c r="J16" s="175"/>
      <c r="K16" s="192">
        <f t="shared" si="0"/>
        <v>0</v>
      </c>
      <c r="L16" s="193">
        <f t="shared" si="1"/>
        <v>0</v>
      </c>
      <c r="M16" s="209"/>
      <c r="N16" s="194"/>
      <c r="O16" s="195">
        <f t="shared" si="5"/>
        <v>250</v>
      </c>
      <c r="P16" s="196"/>
      <c r="Q16" s="219"/>
      <c r="R16" s="179"/>
      <c r="S16" s="180"/>
      <c r="T16" s="199"/>
      <c r="U16" s="124"/>
      <c r="V16" s="124"/>
      <c r="W16" s="135"/>
      <c r="X16" s="182">
        <v>14</v>
      </c>
      <c r="Y16" s="200"/>
      <c r="Z16" s="201"/>
      <c r="AA16" s="182"/>
      <c r="AB16" s="182"/>
      <c r="AC16" s="210"/>
      <c r="AD16" s="210"/>
      <c r="AE16" s="108">
        <f t="shared" si="6"/>
        <v>0</v>
      </c>
      <c r="AF16" s="182"/>
      <c r="AG16" s="182"/>
      <c r="AH16" s="202"/>
      <c r="AI16" s="203"/>
      <c r="AJ16" s="108">
        <f t="shared" si="7"/>
        <v>0</v>
      </c>
      <c r="AK16" s="301"/>
      <c r="AL16" s="124"/>
      <c r="AM16" s="124"/>
      <c r="AN16" s="16"/>
      <c r="AQ16" s="100"/>
      <c r="AR16" s="59"/>
      <c r="AS16" s="59"/>
      <c r="AT16" s="59"/>
      <c r="AU16" s="59"/>
      <c r="AV16" s="75"/>
      <c r="AW16" s="100"/>
    </row>
    <row r="17" spans="1:54" ht="19.5" thickBot="1" x14ac:dyDescent="0.35">
      <c r="A17" s="166">
        <v>44665</v>
      </c>
      <c r="B17" s="190"/>
      <c r="C17" s="179"/>
      <c r="D17" s="179"/>
      <c r="E17" s="175"/>
      <c r="F17" s="170">
        <f t="shared" si="3"/>
        <v>0</v>
      </c>
      <c r="G17" s="171">
        <f t="shared" si="4"/>
        <v>0</v>
      </c>
      <c r="H17" s="179"/>
      <c r="I17" s="191"/>
      <c r="J17" s="175"/>
      <c r="K17" s="192">
        <f t="shared" si="0"/>
        <v>0</v>
      </c>
      <c r="L17" s="193">
        <f t="shared" si="1"/>
        <v>0</v>
      </c>
      <c r="M17" s="209"/>
      <c r="N17" s="194"/>
      <c r="O17" s="195">
        <f>SUM(L17-M17-N17+O16+P17)</f>
        <v>250</v>
      </c>
      <c r="P17" s="196"/>
      <c r="Q17" s="218"/>
      <c r="R17" s="179"/>
      <c r="S17" s="180"/>
      <c r="T17" s="199"/>
      <c r="U17" s="124"/>
      <c r="V17" s="124"/>
      <c r="W17" s="135"/>
      <c r="X17" s="182">
        <v>15</v>
      </c>
      <c r="Y17" s="200"/>
      <c r="Z17" s="201"/>
      <c r="AA17" s="182"/>
      <c r="AB17" s="182"/>
      <c r="AC17" s="210"/>
      <c r="AD17" s="210"/>
      <c r="AE17" s="108">
        <f t="shared" si="6"/>
        <v>0</v>
      </c>
      <c r="AF17" s="182"/>
      <c r="AG17" s="216"/>
      <c r="AH17" s="202"/>
      <c r="AI17" s="203"/>
      <c r="AJ17" s="108">
        <f t="shared" si="7"/>
        <v>0</v>
      </c>
      <c r="AK17" s="301"/>
      <c r="AL17" s="124"/>
      <c r="AM17" s="124"/>
      <c r="AN17" s="16"/>
      <c r="AQ17" s="100"/>
      <c r="AR17" s="59"/>
      <c r="AS17" s="59"/>
      <c r="AT17" s="59"/>
      <c r="AU17" s="59"/>
      <c r="AV17" s="75"/>
      <c r="AW17" s="100"/>
    </row>
    <row r="18" spans="1:54" ht="19.5" thickBot="1" x14ac:dyDescent="0.35">
      <c r="A18" s="166">
        <v>44666</v>
      </c>
      <c r="B18" s="190"/>
      <c r="C18" s="179"/>
      <c r="D18" s="179"/>
      <c r="E18" s="175"/>
      <c r="F18" s="170">
        <f t="shared" si="3"/>
        <v>0</v>
      </c>
      <c r="G18" s="171">
        <f t="shared" si="4"/>
        <v>0</v>
      </c>
      <c r="H18" s="179"/>
      <c r="I18" s="191"/>
      <c r="J18" s="175"/>
      <c r="K18" s="192">
        <f t="shared" si="0"/>
        <v>0</v>
      </c>
      <c r="L18" s="193">
        <f t="shared" si="1"/>
        <v>0</v>
      </c>
      <c r="M18" s="174"/>
      <c r="N18" s="220"/>
      <c r="O18" s="195">
        <f>SUM(L18-M18-N18+O17+P18)</f>
        <v>250</v>
      </c>
      <c r="P18" s="196"/>
      <c r="Q18" s="218"/>
      <c r="R18" s="179"/>
      <c r="S18" s="180"/>
      <c r="T18" s="199"/>
      <c r="U18" s="124"/>
      <c r="V18" s="124"/>
      <c r="W18" s="135"/>
      <c r="X18" s="182">
        <v>16</v>
      </c>
      <c r="Y18" s="200"/>
      <c r="Z18" s="201"/>
      <c r="AA18" s="182"/>
      <c r="AB18" s="182"/>
      <c r="AC18" s="108"/>
      <c r="AD18" s="108"/>
      <c r="AE18" s="108">
        <f t="shared" si="6"/>
        <v>0</v>
      </c>
      <c r="AF18" s="182"/>
      <c r="AG18" s="182"/>
      <c r="AH18" s="202"/>
      <c r="AI18" s="203"/>
      <c r="AJ18" s="108">
        <f t="shared" si="7"/>
        <v>0</v>
      </c>
      <c r="AK18" s="301"/>
      <c r="AL18" s="124"/>
      <c r="AM18" s="124"/>
      <c r="AN18" s="16"/>
      <c r="AQ18" s="100"/>
      <c r="AR18" s="59"/>
      <c r="AS18" s="59"/>
      <c r="AT18" s="59"/>
      <c r="AU18" s="59"/>
      <c r="AV18" s="59"/>
      <c r="AW18" s="100"/>
    </row>
    <row r="19" spans="1:54" ht="19.5" thickBot="1" x14ac:dyDescent="0.35">
      <c r="A19" s="166">
        <v>44667</v>
      </c>
      <c r="B19" s="190"/>
      <c r="C19" s="179"/>
      <c r="D19" s="179"/>
      <c r="E19" s="175"/>
      <c r="F19" s="170">
        <f t="shared" si="3"/>
        <v>0</v>
      </c>
      <c r="G19" s="171">
        <f t="shared" si="4"/>
        <v>0</v>
      </c>
      <c r="H19" s="179"/>
      <c r="I19" s="191"/>
      <c r="J19" s="175"/>
      <c r="K19" s="192">
        <f t="shared" si="0"/>
        <v>0</v>
      </c>
      <c r="L19" s="193">
        <f t="shared" si="1"/>
        <v>0</v>
      </c>
      <c r="M19" s="174"/>
      <c r="N19" s="194"/>
      <c r="O19" s="195">
        <f>SUM(L19-M19-N19+O18+P19)</f>
        <v>250</v>
      </c>
      <c r="P19" s="196"/>
      <c r="Q19" s="218"/>
      <c r="R19" s="179"/>
      <c r="S19" s="180"/>
      <c r="T19" s="199"/>
      <c r="U19" s="124"/>
      <c r="V19" s="124"/>
      <c r="W19" s="135"/>
      <c r="X19" s="182">
        <v>17</v>
      </c>
      <c r="Y19" s="200"/>
      <c r="Z19" s="201"/>
      <c r="AA19" s="182"/>
      <c r="AB19" s="182"/>
      <c r="AC19" s="210"/>
      <c r="AD19" s="210"/>
      <c r="AE19" s="108">
        <f t="shared" si="6"/>
        <v>0</v>
      </c>
      <c r="AF19" s="208"/>
      <c r="AG19" s="182"/>
      <c r="AH19" s="202"/>
      <c r="AI19" s="203"/>
      <c r="AJ19" s="108">
        <f t="shared" si="7"/>
        <v>0</v>
      </c>
      <c r="AK19" s="301"/>
      <c r="AL19" s="124"/>
      <c r="AM19" s="124"/>
      <c r="AN19" s="16"/>
      <c r="AQ19" s="100"/>
      <c r="AR19" s="59"/>
      <c r="AS19" s="59"/>
      <c r="AT19" s="59"/>
      <c r="AU19" s="59"/>
      <c r="AV19" s="59"/>
      <c r="AW19" s="100"/>
    </row>
    <row r="20" spans="1:54" ht="19.5" thickBot="1" x14ac:dyDescent="0.35">
      <c r="A20" s="166">
        <v>44668</v>
      </c>
      <c r="B20" s="190"/>
      <c r="C20" s="179"/>
      <c r="D20" s="179"/>
      <c r="E20" s="175"/>
      <c r="F20" s="170">
        <f t="shared" si="3"/>
        <v>0</v>
      </c>
      <c r="G20" s="171">
        <f t="shared" si="4"/>
        <v>0</v>
      </c>
      <c r="H20" s="179"/>
      <c r="I20" s="191"/>
      <c r="J20" s="175"/>
      <c r="K20" s="192">
        <f t="shared" si="0"/>
        <v>0</v>
      </c>
      <c r="L20" s="193">
        <f t="shared" si="1"/>
        <v>0</v>
      </c>
      <c r="M20" s="174"/>
      <c r="N20" s="194"/>
      <c r="O20" s="195">
        <f>SUM(L20-M20-N20+O19+P20)</f>
        <v>250</v>
      </c>
      <c r="P20" s="196"/>
      <c r="Q20" s="218"/>
      <c r="R20" s="179"/>
      <c r="S20" s="180"/>
      <c r="T20" s="199"/>
      <c r="U20" s="124"/>
      <c r="V20" s="124"/>
      <c r="W20" s="135"/>
      <c r="X20" s="182">
        <v>18</v>
      </c>
      <c r="Y20" s="200"/>
      <c r="Z20" s="201"/>
      <c r="AA20" s="182"/>
      <c r="AB20" s="182"/>
      <c r="AC20" s="210"/>
      <c r="AD20" s="210"/>
      <c r="AE20" s="108">
        <f t="shared" si="6"/>
        <v>0</v>
      </c>
      <c r="AF20" s="182"/>
      <c r="AG20" s="216"/>
      <c r="AH20" s="202"/>
      <c r="AI20" s="203"/>
      <c r="AJ20" s="108">
        <f t="shared" si="7"/>
        <v>0</v>
      </c>
      <c r="AK20" s="301"/>
      <c r="AL20" s="124"/>
      <c r="AM20" s="124"/>
      <c r="AN20" s="22"/>
      <c r="AQ20" s="100"/>
      <c r="AR20" s="59"/>
      <c r="AS20" s="59"/>
      <c r="AT20" s="59"/>
      <c r="AU20" s="59"/>
      <c r="AV20" s="59"/>
      <c r="AW20" s="100"/>
    </row>
    <row r="21" spans="1:54" ht="19.5" thickBot="1" x14ac:dyDescent="0.35">
      <c r="A21" s="166">
        <v>44669</v>
      </c>
      <c r="B21" s="190"/>
      <c r="C21" s="179"/>
      <c r="D21" s="179"/>
      <c r="E21" s="175"/>
      <c r="F21" s="170">
        <f t="shared" si="3"/>
        <v>0</v>
      </c>
      <c r="G21" s="171">
        <f t="shared" si="4"/>
        <v>0</v>
      </c>
      <c r="H21" s="179"/>
      <c r="I21" s="191"/>
      <c r="J21" s="175"/>
      <c r="K21" s="192">
        <f t="shared" si="0"/>
        <v>0</v>
      </c>
      <c r="L21" s="193">
        <f t="shared" si="1"/>
        <v>0</v>
      </c>
      <c r="M21" s="174"/>
      <c r="N21" s="194"/>
      <c r="O21" s="195">
        <f t="shared" si="5"/>
        <v>250</v>
      </c>
      <c r="P21" s="196"/>
      <c r="Q21" s="218"/>
      <c r="R21" s="179"/>
      <c r="S21" s="180"/>
      <c r="T21" s="199"/>
      <c r="U21" s="124"/>
      <c r="V21" s="124"/>
      <c r="W21" s="135"/>
      <c r="X21" s="182">
        <v>19</v>
      </c>
      <c r="Y21" s="200"/>
      <c r="Z21" s="201"/>
      <c r="AA21" s="182"/>
      <c r="AB21" s="221"/>
      <c r="AC21" s="108"/>
      <c r="AD21" s="108"/>
      <c r="AE21" s="108">
        <f t="shared" si="6"/>
        <v>0</v>
      </c>
      <c r="AF21" s="182"/>
      <c r="AG21" s="182"/>
      <c r="AH21" s="202"/>
      <c r="AI21" s="203"/>
      <c r="AJ21" s="108">
        <f t="shared" si="7"/>
        <v>0</v>
      </c>
      <c r="AK21" s="301"/>
      <c r="AL21" s="124"/>
      <c r="AM21" s="124"/>
      <c r="AN21" s="22"/>
      <c r="AQ21" s="100"/>
      <c r="AR21" s="59"/>
      <c r="AS21" s="59"/>
      <c r="AT21" s="59"/>
      <c r="AU21" s="59"/>
      <c r="AV21" s="59"/>
      <c r="AW21" s="100"/>
    </row>
    <row r="22" spans="1:54" ht="19.5" thickBot="1" x14ac:dyDescent="0.35">
      <c r="A22" s="166">
        <v>44670</v>
      </c>
      <c r="B22" s="190"/>
      <c r="C22" s="179"/>
      <c r="D22" s="179"/>
      <c r="E22" s="175"/>
      <c r="F22" s="170">
        <f t="shared" si="3"/>
        <v>0</v>
      </c>
      <c r="G22" s="171">
        <f t="shared" si="4"/>
        <v>0</v>
      </c>
      <c r="H22" s="179"/>
      <c r="I22" s="191"/>
      <c r="J22" s="175"/>
      <c r="K22" s="192">
        <f t="shared" si="0"/>
        <v>0</v>
      </c>
      <c r="L22" s="193">
        <f t="shared" si="1"/>
        <v>0</v>
      </c>
      <c r="M22" s="174"/>
      <c r="N22" s="194"/>
      <c r="O22" s="195">
        <f t="shared" si="5"/>
        <v>250</v>
      </c>
      <c r="P22" s="196"/>
      <c r="Q22" s="218"/>
      <c r="R22" s="179"/>
      <c r="S22" s="180"/>
      <c r="T22" s="199"/>
      <c r="U22" s="124"/>
      <c r="V22" s="124"/>
      <c r="W22" s="135"/>
      <c r="X22" s="182">
        <v>20</v>
      </c>
      <c r="Y22" s="200"/>
      <c r="Z22" s="201"/>
      <c r="AA22" s="182"/>
      <c r="AB22" s="221"/>
      <c r="AC22" s="210"/>
      <c r="AD22" s="210"/>
      <c r="AE22" s="108">
        <f t="shared" si="6"/>
        <v>0</v>
      </c>
      <c r="AF22" s="182"/>
      <c r="AG22" s="182"/>
      <c r="AH22" s="202"/>
      <c r="AI22" s="203"/>
      <c r="AJ22" s="108">
        <f t="shared" si="7"/>
        <v>0</v>
      </c>
      <c r="AK22" s="301"/>
      <c r="AL22" s="124"/>
      <c r="AM22" s="124"/>
      <c r="AN22" s="16"/>
      <c r="AQ22" s="100"/>
      <c r="AR22" s="59"/>
      <c r="AS22" s="71"/>
      <c r="AT22" s="71"/>
      <c r="AU22" s="71"/>
      <c r="AV22" s="59"/>
      <c r="AW22" s="100"/>
    </row>
    <row r="23" spans="1:54" ht="19.5" thickBot="1" x14ac:dyDescent="0.35">
      <c r="A23" s="166">
        <v>44671</v>
      </c>
      <c r="B23" s="190"/>
      <c r="C23" s="179"/>
      <c r="D23" s="179"/>
      <c r="E23" s="175"/>
      <c r="F23" s="170">
        <f t="shared" si="3"/>
        <v>0</v>
      </c>
      <c r="G23" s="171">
        <f t="shared" si="4"/>
        <v>0</v>
      </c>
      <c r="H23" s="179"/>
      <c r="I23" s="191"/>
      <c r="J23" s="175"/>
      <c r="K23" s="192">
        <f t="shared" si="0"/>
        <v>0</v>
      </c>
      <c r="L23" s="193">
        <f t="shared" si="1"/>
        <v>0</v>
      </c>
      <c r="M23" s="174"/>
      <c r="N23" s="194"/>
      <c r="O23" s="195">
        <f t="shared" si="5"/>
        <v>250</v>
      </c>
      <c r="P23" s="196"/>
      <c r="Q23" s="211"/>
      <c r="R23" s="212"/>
      <c r="S23" s="180"/>
      <c r="T23" s="222"/>
      <c r="U23" s="124"/>
      <c r="V23" s="124"/>
      <c r="W23" s="135"/>
      <c r="X23" s="182">
        <v>21</v>
      </c>
      <c r="Y23" s="223"/>
      <c r="Z23" s="224"/>
      <c r="AA23" s="208"/>
      <c r="AB23" s="225"/>
      <c r="AC23" s="108"/>
      <c r="AD23" s="108"/>
      <c r="AE23" s="108">
        <f t="shared" si="6"/>
        <v>0</v>
      </c>
      <c r="AF23" s="208"/>
      <c r="AG23" s="226"/>
      <c r="AH23" s="202"/>
      <c r="AI23" s="203"/>
      <c r="AJ23" s="108">
        <f t="shared" si="7"/>
        <v>0</v>
      </c>
      <c r="AK23" s="301"/>
      <c r="AL23" s="124"/>
      <c r="AM23" s="124"/>
      <c r="AN23" s="16"/>
      <c r="AQ23" s="100"/>
      <c r="AR23" s="100"/>
      <c r="AS23" s="100"/>
      <c r="AT23" s="100"/>
      <c r="AU23" s="100"/>
      <c r="AV23" s="100"/>
      <c r="AW23" s="100"/>
    </row>
    <row r="24" spans="1:54" ht="19.5" thickBot="1" x14ac:dyDescent="0.35">
      <c r="A24" s="166">
        <v>44672</v>
      </c>
      <c r="B24" s="190"/>
      <c r="C24" s="179"/>
      <c r="D24" s="179"/>
      <c r="E24" s="175"/>
      <c r="F24" s="170">
        <f t="shared" si="3"/>
        <v>0</v>
      </c>
      <c r="G24" s="171">
        <f t="shared" si="4"/>
        <v>0</v>
      </c>
      <c r="H24" s="179"/>
      <c r="I24" s="191"/>
      <c r="J24" s="175"/>
      <c r="K24" s="192">
        <f t="shared" si="0"/>
        <v>0</v>
      </c>
      <c r="L24" s="193">
        <f t="shared" si="1"/>
        <v>0</v>
      </c>
      <c r="M24" s="209"/>
      <c r="N24" s="194"/>
      <c r="O24" s="195">
        <f>SUM(L24-M24-N24+O23+P24)</f>
        <v>250</v>
      </c>
      <c r="P24" s="196"/>
      <c r="Q24" s="211"/>
      <c r="R24" s="212"/>
      <c r="S24" s="180"/>
      <c r="T24" s="222"/>
      <c r="U24" s="124"/>
      <c r="V24" s="124"/>
      <c r="W24" s="135"/>
      <c r="X24" s="182">
        <v>22</v>
      </c>
      <c r="Y24" s="200"/>
      <c r="Z24" s="201"/>
      <c r="AA24" s="182"/>
      <c r="AB24" s="227"/>
      <c r="AC24" s="210"/>
      <c r="AD24" s="210"/>
      <c r="AE24" s="108">
        <f t="shared" si="6"/>
        <v>0</v>
      </c>
      <c r="AF24" s="182"/>
      <c r="AG24" s="226"/>
      <c r="AH24" s="202"/>
      <c r="AI24" s="203"/>
      <c r="AJ24" s="108">
        <f t="shared" si="7"/>
        <v>0</v>
      </c>
      <c r="AK24" s="301"/>
      <c r="AL24" s="124"/>
      <c r="AM24" s="124"/>
      <c r="AN24" s="16"/>
    </row>
    <row r="25" spans="1:54" ht="19.5" thickBot="1" x14ac:dyDescent="0.35">
      <c r="A25" s="166">
        <v>44673</v>
      </c>
      <c r="B25" s="190"/>
      <c r="C25" s="179"/>
      <c r="D25" s="179"/>
      <c r="E25" s="175"/>
      <c r="F25" s="170">
        <f t="shared" si="3"/>
        <v>0</v>
      </c>
      <c r="G25" s="171">
        <f t="shared" si="4"/>
        <v>0</v>
      </c>
      <c r="H25" s="179"/>
      <c r="I25" s="191"/>
      <c r="J25" s="175"/>
      <c r="K25" s="192">
        <f t="shared" si="0"/>
        <v>0</v>
      </c>
      <c r="L25" s="193">
        <f t="shared" si="1"/>
        <v>0</v>
      </c>
      <c r="M25" s="174"/>
      <c r="N25" s="194"/>
      <c r="O25" s="195">
        <f t="shared" si="5"/>
        <v>250</v>
      </c>
      <c r="P25" s="196"/>
      <c r="Q25" s="178"/>
      <c r="R25" s="179"/>
      <c r="S25" s="180"/>
      <c r="T25" s="181"/>
      <c r="U25" s="124"/>
      <c r="V25" s="124"/>
      <c r="W25" s="135"/>
      <c r="X25" s="182">
        <v>26</v>
      </c>
      <c r="Y25" s="223"/>
      <c r="Z25" s="224"/>
      <c r="AA25" s="208"/>
      <c r="AB25" s="228"/>
      <c r="AC25" s="210"/>
      <c r="AD25" s="210"/>
      <c r="AE25" s="108">
        <f t="shared" si="6"/>
        <v>0</v>
      </c>
      <c r="AF25" s="208"/>
      <c r="AG25" s="226"/>
      <c r="AH25" s="202"/>
      <c r="AI25" s="203"/>
      <c r="AJ25" s="108">
        <f t="shared" si="7"/>
        <v>0</v>
      </c>
      <c r="AK25" s="301"/>
      <c r="AL25" s="124"/>
      <c r="AM25" s="124"/>
      <c r="AN25" s="16"/>
      <c r="AW25" s="2"/>
    </row>
    <row r="26" spans="1:54" ht="19.5" thickBot="1" x14ac:dyDescent="0.35">
      <c r="A26" s="166">
        <v>44674</v>
      </c>
      <c r="B26" s="190"/>
      <c r="C26" s="179"/>
      <c r="D26" s="179"/>
      <c r="E26" s="175"/>
      <c r="F26" s="170">
        <f t="shared" si="3"/>
        <v>0</v>
      </c>
      <c r="G26" s="171">
        <f t="shared" si="4"/>
        <v>0</v>
      </c>
      <c r="H26" s="179"/>
      <c r="I26" s="191"/>
      <c r="J26" s="175"/>
      <c r="K26" s="192">
        <f t="shared" si="0"/>
        <v>0</v>
      </c>
      <c r="L26" s="193">
        <f t="shared" si="1"/>
        <v>0</v>
      </c>
      <c r="M26" s="174"/>
      <c r="N26" s="194"/>
      <c r="O26" s="195">
        <f t="shared" si="5"/>
        <v>250</v>
      </c>
      <c r="P26" s="196"/>
      <c r="Q26" s="178"/>
      <c r="R26" s="179"/>
      <c r="S26" s="180"/>
      <c r="T26" s="222"/>
      <c r="U26" s="124"/>
      <c r="V26" s="124"/>
      <c r="W26" s="135"/>
      <c r="X26" s="182">
        <v>27</v>
      </c>
      <c r="Y26" s="223"/>
      <c r="Z26" s="224"/>
      <c r="AA26" s="208"/>
      <c r="AB26" s="228"/>
      <c r="AC26" s="210"/>
      <c r="AD26" s="210"/>
      <c r="AE26" s="108">
        <f t="shared" si="6"/>
        <v>0</v>
      </c>
      <c r="AF26" s="208"/>
      <c r="AG26" s="226"/>
      <c r="AH26" s="202"/>
      <c r="AI26" s="203"/>
      <c r="AJ26" s="108">
        <f t="shared" si="7"/>
        <v>0</v>
      </c>
      <c r="AK26" s="301"/>
      <c r="AL26" s="124"/>
      <c r="AM26" s="124"/>
      <c r="AN26" s="16"/>
      <c r="AW26" s="2"/>
      <c r="AY26" s="2"/>
    </row>
    <row r="27" spans="1:54" ht="19.5" thickBot="1" x14ac:dyDescent="0.35">
      <c r="A27" s="166">
        <v>44675</v>
      </c>
      <c r="B27" s="190"/>
      <c r="C27" s="179"/>
      <c r="D27" s="179"/>
      <c r="E27" s="175"/>
      <c r="F27" s="170">
        <f t="shared" si="3"/>
        <v>0</v>
      </c>
      <c r="G27" s="171">
        <f t="shared" si="4"/>
        <v>0</v>
      </c>
      <c r="H27" s="179"/>
      <c r="I27" s="191"/>
      <c r="J27" s="175"/>
      <c r="K27" s="192">
        <f t="shared" si="0"/>
        <v>0</v>
      </c>
      <c r="L27" s="193">
        <f t="shared" si="1"/>
        <v>0</v>
      </c>
      <c r="M27" s="209"/>
      <c r="N27" s="194"/>
      <c r="O27" s="195">
        <f t="shared" si="5"/>
        <v>250</v>
      </c>
      <c r="P27" s="196"/>
      <c r="Q27" s="178"/>
      <c r="R27" s="179"/>
      <c r="S27" s="180"/>
      <c r="T27" s="222"/>
      <c r="U27" s="124"/>
      <c r="V27" s="124"/>
      <c r="W27" s="135"/>
      <c r="X27" s="182">
        <v>28</v>
      </c>
      <c r="Y27" s="200"/>
      <c r="Z27" s="201"/>
      <c r="AA27" s="182"/>
      <c r="AB27" s="182"/>
      <c r="AC27" s="210"/>
      <c r="AD27" s="210"/>
      <c r="AE27" s="108">
        <f t="shared" si="6"/>
        <v>0</v>
      </c>
      <c r="AF27" s="182"/>
      <c r="AG27" s="182"/>
      <c r="AH27" s="202"/>
      <c r="AI27" s="203"/>
      <c r="AJ27" s="108">
        <f t="shared" si="7"/>
        <v>0</v>
      </c>
      <c r="AK27" s="301"/>
      <c r="AL27" s="124"/>
      <c r="AM27" s="124"/>
      <c r="AN27" s="16"/>
      <c r="AR27" s="2"/>
      <c r="AS27" s="2"/>
      <c r="AT27" s="2"/>
      <c r="AU27" s="2"/>
      <c r="AV27" s="2"/>
      <c r="AW27" s="2"/>
      <c r="AY27" s="2"/>
      <c r="AZ27" s="2"/>
      <c r="BA27" s="2"/>
      <c r="BB27" s="2"/>
    </row>
    <row r="28" spans="1:54" ht="19.5" thickBot="1" x14ac:dyDescent="0.35">
      <c r="A28" s="166">
        <v>44676</v>
      </c>
      <c r="B28" s="190"/>
      <c r="C28" s="179"/>
      <c r="D28" s="179"/>
      <c r="E28" s="175"/>
      <c r="F28" s="170">
        <f t="shared" si="3"/>
        <v>0</v>
      </c>
      <c r="G28" s="171">
        <f t="shared" si="4"/>
        <v>0</v>
      </c>
      <c r="H28" s="179"/>
      <c r="I28" s="191"/>
      <c r="J28" s="175"/>
      <c r="K28" s="192">
        <f t="shared" si="0"/>
        <v>0</v>
      </c>
      <c r="L28" s="193">
        <f t="shared" si="1"/>
        <v>0</v>
      </c>
      <c r="M28" s="174"/>
      <c r="N28" s="194"/>
      <c r="O28" s="195">
        <f>SUM(L28-M28-N28+O27+P28)</f>
        <v>250</v>
      </c>
      <c r="P28" s="196"/>
      <c r="Q28" s="178"/>
      <c r="R28" s="179"/>
      <c r="S28" s="180"/>
      <c r="T28" s="222"/>
      <c r="U28" s="124"/>
      <c r="V28" s="124"/>
      <c r="W28" s="135"/>
      <c r="X28" s="182">
        <v>29</v>
      </c>
      <c r="Y28" s="200"/>
      <c r="Z28" s="201"/>
      <c r="AA28" s="182"/>
      <c r="AB28" s="182"/>
      <c r="AC28" s="210"/>
      <c r="AD28" s="210"/>
      <c r="AE28" s="108">
        <f t="shared" si="6"/>
        <v>0</v>
      </c>
      <c r="AF28" s="182"/>
      <c r="AG28" s="182"/>
      <c r="AH28" s="202"/>
      <c r="AI28" s="203"/>
      <c r="AJ28" s="108">
        <f t="shared" si="7"/>
        <v>0</v>
      </c>
      <c r="AK28" s="163"/>
      <c r="AL28" s="124"/>
      <c r="AM28" s="124"/>
      <c r="AN28" s="16"/>
      <c r="AR28" s="92"/>
      <c r="AS28" s="11"/>
      <c r="AT28" s="11"/>
      <c r="AU28" s="11"/>
      <c r="AV28" s="2"/>
      <c r="AW28" s="2"/>
      <c r="AY28" s="2"/>
      <c r="AZ28" s="2"/>
      <c r="BA28" s="12"/>
      <c r="BB28" s="2"/>
    </row>
    <row r="29" spans="1:54" ht="19.5" thickBot="1" x14ac:dyDescent="0.35">
      <c r="A29" s="166">
        <v>44677</v>
      </c>
      <c r="B29" s="190"/>
      <c r="C29" s="179"/>
      <c r="D29" s="179"/>
      <c r="E29" s="175"/>
      <c r="F29" s="170">
        <f t="shared" si="3"/>
        <v>0</v>
      </c>
      <c r="G29" s="171">
        <f t="shared" si="4"/>
        <v>0</v>
      </c>
      <c r="H29" s="179"/>
      <c r="I29" s="191"/>
      <c r="J29" s="175"/>
      <c r="K29" s="192">
        <f t="shared" si="0"/>
        <v>0</v>
      </c>
      <c r="L29" s="193">
        <f t="shared" si="1"/>
        <v>0</v>
      </c>
      <c r="M29" s="174"/>
      <c r="N29" s="194"/>
      <c r="O29" s="195">
        <f t="shared" si="5"/>
        <v>250</v>
      </c>
      <c r="P29" s="135"/>
      <c r="Q29" s="178"/>
      <c r="R29" s="179"/>
      <c r="S29" s="180"/>
      <c r="T29" s="222"/>
      <c r="U29" s="124"/>
      <c r="V29" s="124"/>
      <c r="W29" s="135"/>
      <c r="X29" s="182">
        <v>30</v>
      </c>
      <c r="Y29" s="200"/>
      <c r="Z29" s="201"/>
      <c r="AA29" s="182"/>
      <c r="AB29" s="182"/>
      <c r="AC29" s="108"/>
      <c r="AD29" s="108"/>
      <c r="AE29" s="108">
        <f t="shared" si="6"/>
        <v>0</v>
      </c>
      <c r="AF29" s="182"/>
      <c r="AG29" s="182"/>
      <c r="AH29" s="202"/>
      <c r="AI29" s="203"/>
      <c r="AJ29" s="108">
        <f t="shared" si="7"/>
        <v>0</v>
      </c>
      <c r="AK29" s="163"/>
      <c r="AL29" s="124"/>
      <c r="AM29" s="124"/>
      <c r="AN29" s="22"/>
      <c r="AR29" s="92"/>
      <c r="AS29" s="11"/>
      <c r="AT29" s="11"/>
      <c r="AU29" s="11"/>
      <c r="AV29" s="2"/>
      <c r="AW29" s="2"/>
      <c r="AY29" s="12"/>
      <c r="AZ29" s="2"/>
      <c r="BA29" s="12"/>
      <c r="BB29" s="2"/>
    </row>
    <row r="30" spans="1:54" ht="19.5" thickBot="1" x14ac:dyDescent="0.35">
      <c r="A30" s="166">
        <v>44678</v>
      </c>
      <c r="B30" s="229"/>
      <c r="C30" s="179"/>
      <c r="D30" s="179"/>
      <c r="E30" s="175"/>
      <c r="F30" s="170">
        <f t="shared" si="3"/>
        <v>0</v>
      </c>
      <c r="G30" s="171">
        <f t="shared" si="4"/>
        <v>0</v>
      </c>
      <c r="H30" s="179"/>
      <c r="I30" s="191"/>
      <c r="J30" s="175"/>
      <c r="K30" s="192">
        <f t="shared" si="0"/>
        <v>0</v>
      </c>
      <c r="L30" s="193">
        <f t="shared" si="1"/>
        <v>0</v>
      </c>
      <c r="M30" s="209"/>
      <c r="N30" s="194"/>
      <c r="O30" s="195">
        <f>SUM(L30-M30-N30+O29+P30)</f>
        <v>250</v>
      </c>
      <c r="P30" s="135"/>
      <c r="Q30" s="178"/>
      <c r="R30" s="179"/>
      <c r="S30" s="230"/>
      <c r="T30" s="222"/>
      <c r="U30" s="124"/>
      <c r="V30" s="124"/>
      <c r="W30" s="135"/>
      <c r="X30" s="24"/>
      <c r="Y30" s="160"/>
      <c r="Z30" s="161"/>
      <c r="AA30" s="24"/>
      <c r="AB30" s="24"/>
      <c r="AC30" s="231" t="s">
        <v>16</v>
      </c>
      <c r="AD30" s="231">
        <f>SUM(AD3:AD29)</f>
        <v>0</v>
      </c>
      <c r="AE30" s="163"/>
      <c r="AF30" s="232"/>
      <c r="AG30" s="24"/>
      <c r="AH30" s="233"/>
      <c r="AI30" s="165"/>
      <c r="AJ30" s="163"/>
      <c r="AK30" s="163"/>
      <c r="AL30" s="124"/>
      <c r="AM30" s="124"/>
      <c r="AN30" s="22"/>
      <c r="AR30" s="92"/>
      <c r="AS30" s="11"/>
      <c r="AT30" s="11"/>
      <c r="AU30" s="11"/>
      <c r="AV30" s="2"/>
      <c r="AW30" s="2"/>
      <c r="AY30" s="12"/>
      <c r="AZ30" s="2"/>
      <c r="BA30" s="12"/>
      <c r="BB30" s="2"/>
    </row>
    <row r="31" spans="1:54" ht="19.5" thickBot="1" x14ac:dyDescent="0.35">
      <c r="A31" s="166">
        <v>44679</v>
      </c>
      <c r="B31" s="234"/>
      <c r="C31" s="235"/>
      <c r="D31" s="236"/>
      <c r="E31" s="175"/>
      <c r="F31" s="170">
        <f t="shared" si="3"/>
        <v>0</v>
      </c>
      <c r="G31" s="171">
        <f t="shared" si="4"/>
        <v>0</v>
      </c>
      <c r="H31" s="179"/>
      <c r="I31" s="191"/>
      <c r="J31" s="237"/>
      <c r="K31" s="192">
        <f t="shared" si="0"/>
        <v>0</v>
      </c>
      <c r="L31" s="193">
        <f t="shared" si="1"/>
        <v>0</v>
      </c>
      <c r="M31" s="174"/>
      <c r="N31" s="194"/>
      <c r="O31" s="238">
        <f t="shared" si="5"/>
        <v>250</v>
      </c>
      <c r="P31" s="239" t="s">
        <v>9</v>
      </c>
      <c r="Q31" s="178"/>
      <c r="R31" s="179"/>
      <c r="S31" s="230"/>
      <c r="T31" s="222"/>
      <c r="U31" s="124"/>
      <c r="V31" s="124"/>
      <c r="W31" s="135"/>
      <c r="X31" s="24"/>
      <c r="Y31" s="160"/>
      <c r="Z31" s="161"/>
      <c r="AA31" s="24"/>
      <c r="AB31" s="24"/>
      <c r="AC31" s="163"/>
      <c r="AD31" s="163"/>
      <c r="AE31" s="163"/>
      <c r="AF31" s="24"/>
      <c r="AG31" s="24"/>
      <c r="AH31" s="233"/>
      <c r="AI31" s="165"/>
      <c r="AJ31" s="163"/>
      <c r="AK31" s="301"/>
      <c r="AL31" s="124"/>
      <c r="AM31" s="124"/>
      <c r="AN31" s="22"/>
      <c r="AR31" s="92"/>
      <c r="AS31" s="11"/>
      <c r="AT31" s="11"/>
      <c r="AU31" s="11"/>
      <c r="AV31" s="2"/>
      <c r="AW31" s="2"/>
      <c r="AY31" s="2"/>
      <c r="AZ31" s="2"/>
      <c r="BA31" s="12"/>
      <c r="BB31" s="2"/>
    </row>
    <row r="32" spans="1:54" ht="19.5" thickBot="1" x14ac:dyDescent="0.35">
      <c r="A32" s="166">
        <v>44680</v>
      </c>
      <c r="B32" s="190"/>
      <c r="C32" s="179"/>
      <c r="D32" s="179"/>
      <c r="E32" s="175"/>
      <c r="F32" s="170">
        <f t="shared" si="3"/>
        <v>0</v>
      </c>
      <c r="G32" s="171">
        <f t="shared" si="4"/>
        <v>0</v>
      </c>
      <c r="H32" s="179"/>
      <c r="I32" s="191"/>
      <c r="J32" s="175"/>
      <c r="K32" s="192">
        <f t="shared" si="0"/>
        <v>0</v>
      </c>
      <c r="L32" s="193">
        <f t="shared" si="1"/>
        <v>0</v>
      </c>
      <c r="M32" s="240"/>
      <c r="N32" s="194"/>
      <c r="O32" s="238">
        <f t="shared" si="5"/>
        <v>250</v>
      </c>
      <c r="P32" s="241" t="s">
        <v>10</v>
      </c>
      <c r="Q32" s="242"/>
      <c r="R32" s="179"/>
      <c r="S32" s="230"/>
      <c r="T32" s="222"/>
      <c r="U32" s="124"/>
      <c r="V32" s="124"/>
      <c r="W32" s="135"/>
      <c r="X32" s="24"/>
      <c r="Y32" s="160"/>
      <c r="Z32" s="161"/>
      <c r="AA32" s="182" t="s">
        <v>17</v>
      </c>
      <c r="AB32" s="24"/>
      <c r="AC32" s="244"/>
      <c r="AD32" s="244"/>
      <c r="AE32" s="163"/>
      <c r="AF32" s="24"/>
      <c r="AG32" s="24"/>
      <c r="AH32" s="233"/>
      <c r="AI32" s="165"/>
      <c r="AJ32" s="163"/>
      <c r="AK32" s="163"/>
      <c r="AL32" s="303" t="s">
        <v>31</v>
      </c>
      <c r="AM32" s="304"/>
      <c r="AN32" s="36"/>
      <c r="AR32" s="2"/>
      <c r="AS32" s="11"/>
      <c r="AT32" s="11"/>
      <c r="AU32" s="11"/>
      <c r="AV32" s="2"/>
      <c r="AW32" s="2"/>
      <c r="AY32" s="2"/>
      <c r="AZ32" s="2"/>
      <c r="BA32" s="2"/>
      <c r="BB32" s="2"/>
    </row>
    <row r="33" spans="1:54" ht="19.5" thickBot="1" x14ac:dyDescent="0.35">
      <c r="A33" s="166"/>
      <c r="B33" s="245"/>
      <c r="C33" s="246"/>
      <c r="D33" s="246"/>
      <c r="E33" s="247"/>
      <c r="F33" s="170">
        <f t="shared" si="3"/>
        <v>0</v>
      </c>
      <c r="G33" s="171">
        <f t="shared" si="4"/>
        <v>0</v>
      </c>
      <c r="H33" s="248"/>
      <c r="I33" s="248"/>
      <c r="J33" s="247"/>
      <c r="K33" s="249">
        <f t="shared" si="0"/>
        <v>0</v>
      </c>
      <c r="L33" s="250">
        <f t="shared" si="1"/>
        <v>0</v>
      </c>
      <c r="M33" s="251"/>
      <c r="N33" s="252"/>
      <c r="O33" s="253">
        <f t="shared" si="5"/>
        <v>250</v>
      </c>
      <c r="P33" s="254">
        <f>SUM(O33)</f>
        <v>250</v>
      </c>
      <c r="Q33" s="255"/>
      <c r="R33" s="246"/>
      <c r="S33" s="256"/>
      <c r="T33" s="257"/>
      <c r="U33" s="124"/>
      <c r="V33" s="124"/>
      <c r="W33" s="135"/>
      <c r="X33" s="182">
        <v>1</v>
      </c>
      <c r="Y33" s="200"/>
      <c r="Z33" s="201"/>
      <c r="AA33" s="182"/>
      <c r="AB33" s="182"/>
      <c r="AC33" s="258"/>
      <c r="AD33" s="210"/>
      <c r="AE33" s="108">
        <f t="shared" ref="AE33:AE45" si="8">SUM(AC33:AD33)</f>
        <v>0</v>
      </c>
      <c r="AF33" s="182"/>
      <c r="AG33" s="182"/>
      <c r="AH33" s="202"/>
      <c r="AI33" s="203"/>
      <c r="AJ33" s="108">
        <f>AE33</f>
        <v>0</v>
      </c>
      <c r="AK33" s="163"/>
      <c r="AL33" s="258">
        <f t="shared" ref="AL33:AL63" si="9">AC33</f>
        <v>0</v>
      </c>
      <c r="AM33" s="305">
        <v>1</v>
      </c>
      <c r="AN33" s="16"/>
      <c r="AR33" s="92"/>
      <c r="AS33" s="11"/>
      <c r="AT33" s="11"/>
      <c r="AU33" s="11"/>
      <c r="AV33" s="2"/>
      <c r="AW33" s="2"/>
      <c r="AY33" s="2"/>
      <c r="AZ33" s="2"/>
      <c r="BA33" s="2"/>
      <c r="BB33" s="2"/>
    </row>
    <row r="34" spans="1:54" ht="19.5" thickBot="1" x14ac:dyDescent="0.35">
      <c r="A34" s="124"/>
      <c r="B34" s="259">
        <f>SUM(B5:B33)</f>
        <v>0</v>
      </c>
      <c r="C34" s="260">
        <f t="shared" ref="C34:N34" si="10">SUM(C3:C33)</f>
        <v>0</v>
      </c>
      <c r="D34" s="261">
        <f t="shared" si="10"/>
        <v>0</v>
      </c>
      <c r="E34" s="261">
        <f t="shared" si="10"/>
        <v>0</v>
      </c>
      <c r="F34" s="262">
        <f t="shared" si="10"/>
        <v>0</v>
      </c>
      <c r="G34" s="263"/>
      <c r="H34" s="263">
        <f>SUM(H3:H33)</f>
        <v>0</v>
      </c>
      <c r="I34" s="263"/>
      <c r="J34" s="263">
        <f t="shared" si="10"/>
        <v>0</v>
      </c>
      <c r="K34" s="264">
        <f t="shared" si="10"/>
        <v>0</v>
      </c>
      <c r="L34" s="265">
        <f t="shared" si="10"/>
        <v>0</v>
      </c>
      <c r="M34" s="266">
        <f t="shared" si="10"/>
        <v>0</v>
      </c>
      <c r="N34" s="267">
        <f t="shared" si="10"/>
        <v>0</v>
      </c>
      <c r="O34" s="135"/>
      <c r="P34" s="135"/>
      <c r="Q34" s="124"/>
      <c r="R34" s="135"/>
      <c r="S34" s="124"/>
      <c r="T34" s="124"/>
      <c r="U34" s="124"/>
      <c r="V34" s="124"/>
      <c r="W34" s="135"/>
      <c r="X34" s="182">
        <v>2</v>
      </c>
      <c r="Y34" s="217"/>
      <c r="Z34" s="201"/>
      <c r="AA34" s="182"/>
      <c r="AB34" s="182"/>
      <c r="AC34" s="258"/>
      <c r="AD34" s="210"/>
      <c r="AE34" s="108">
        <f t="shared" si="8"/>
        <v>0</v>
      </c>
      <c r="AF34" s="182"/>
      <c r="AG34" s="216"/>
      <c r="AH34" s="202"/>
      <c r="AI34" s="203"/>
      <c r="AJ34" s="108">
        <f>AE34</f>
        <v>0</v>
      </c>
      <c r="AK34" s="163"/>
      <c r="AL34" s="258">
        <f t="shared" si="9"/>
        <v>0</v>
      </c>
      <c r="AM34" s="221">
        <v>2</v>
      </c>
      <c r="AN34" s="16"/>
      <c r="AR34" s="2"/>
      <c r="AS34" s="11"/>
      <c r="AT34" s="11"/>
      <c r="AU34" s="11"/>
      <c r="AV34" s="2"/>
      <c r="AW34" s="2"/>
      <c r="AY34" s="2"/>
      <c r="AZ34" s="2"/>
      <c r="BA34" s="2"/>
      <c r="BB34" s="2"/>
    </row>
    <row r="35" spans="1:54" ht="19.5" thickBot="1" x14ac:dyDescent="0.35">
      <c r="A35" s="269" t="s">
        <v>15</v>
      </c>
      <c r="B35" s="270">
        <f>SUM(B3:B33)</f>
        <v>0</v>
      </c>
      <c r="C35" s="270">
        <f>SUM(C34/1.06)</f>
        <v>0</v>
      </c>
      <c r="D35" s="270">
        <f>SUM(D34/1.12)</f>
        <v>0</v>
      </c>
      <c r="E35" s="270">
        <f>SUM(E34/1.21)</f>
        <v>0</v>
      </c>
      <c r="F35" s="270">
        <f>SUM(B35:E35)</f>
        <v>0</v>
      </c>
      <c r="G35" s="271">
        <f>SUM(G34:G34)</f>
        <v>0</v>
      </c>
      <c r="H35" s="135"/>
      <c r="I35" s="135"/>
      <c r="J35" s="179"/>
      <c r="K35" s="272"/>
      <c r="L35" s="273" t="s">
        <v>82</v>
      </c>
      <c r="M35" s="274"/>
      <c r="N35" s="275">
        <f>SUM(M34:N34)</f>
        <v>0</v>
      </c>
      <c r="O35" s="135"/>
      <c r="P35" s="135"/>
      <c r="Q35" s="124"/>
      <c r="R35" s="135"/>
      <c r="S35" s="124"/>
      <c r="T35" s="124"/>
      <c r="U35" s="124"/>
      <c r="V35" s="124"/>
      <c r="W35" s="135"/>
      <c r="X35" s="182">
        <v>3</v>
      </c>
      <c r="Y35" s="200"/>
      <c r="Z35" s="201"/>
      <c r="AA35" s="182"/>
      <c r="AB35" s="182"/>
      <c r="AC35" s="258"/>
      <c r="AD35" s="210"/>
      <c r="AE35" s="108">
        <f t="shared" si="8"/>
        <v>0</v>
      </c>
      <c r="AF35" s="182"/>
      <c r="AG35" s="182"/>
      <c r="AH35" s="202"/>
      <c r="AI35" s="203"/>
      <c r="AJ35" s="108">
        <f>AE35</f>
        <v>0</v>
      </c>
      <c r="AK35" s="163"/>
      <c r="AL35" s="258">
        <f t="shared" si="9"/>
        <v>0</v>
      </c>
      <c r="AM35" s="221">
        <v>3</v>
      </c>
      <c r="AN35" s="16"/>
      <c r="AR35" s="2"/>
      <c r="AS35" s="11"/>
      <c r="AT35" s="11"/>
      <c r="AU35" s="11"/>
      <c r="AV35" s="12"/>
      <c r="AW35" s="2"/>
      <c r="AY35" s="2"/>
      <c r="AZ35" s="2"/>
      <c r="BA35" s="2"/>
      <c r="BB35" s="2"/>
    </row>
    <row r="36" spans="1:54" ht="18.75" x14ac:dyDescent="0.3">
      <c r="A36" s="269" t="s">
        <v>16</v>
      </c>
      <c r="B36" s="276"/>
      <c r="C36" s="270">
        <f>SUM(C34-C35)</f>
        <v>0</v>
      </c>
      <c r="D36" s="270">
        <f>SUM(D34-D35)</f>
        <v>0</v>
      </c>
      <c r="E36" s="270">
        <f>SUM(E34-E35)</f>
        <v>0</v>
      </c>
      <c r="F36" s="270">
        <f>SUM(C36:E36)</f>
        <v>0</v>
      </c>
      <c r="G36" s="135"/>
      <c r="H36" s="135"/>
      <c r="I36" s="135"/>
      <c r="J36" s="135"/>
      <c r="K36" s="135"/>
      <c r="L36" s="135"/>
      <c r="M36" s="135"/>
      <c r="N36" s="135"/>
      <c r="O36" s="135"/>
      <c r="P36" s="135"/>
      <c r="Q36" s="124"/>
      <c r="R36" s="135"/>
      <c r="S36" s="124"/>
      <c r="T36" s="124"/>
      <c r="U36" s="124"/>
      <c r="V36" s="124"/>
      <c r="W36" s="135"/>
      <c r="X36" s="182">
        <v>4</v>
      </c>
      <c r="Y36" s="317"/>
      <c r="Z36" s="318"/>
      <c r="AA36" s="319"/>
      <c r="AB36" s="319"/>
      <c r="AC36" s="277"/>
      <c r="AD36" s="314"/>
      <c r="AE36" s="314">
        <f t="shared" si="8"/>
        <v>0</v>
      </c>
      <c r="AF36" s="319"/>
      <c r="AG36" s="319"/>
      <c r="AH36" s="315"/>
      <c r="AI36" s="316"/>
      <c r="AJ36" s="314">
        <v>0</v>
      </c>
      <c r="AK36" s="306"/>
      <c r="AL36" s="258">
        <f t="shared" si="9"/>
        <v>0</v>
      </c>
      <c r="AM36" s="221">
        <v>4</v>
      </c>
      <c r="AN36" s="16"/>
      <c r="AR36" s="12"/>
      <c r="AS36" s="11"/>
      <c r="AT36" s="11"/>
      <c r="AU36" s="11"/>
      <c r="AV36" s="12"/>
      <c r="AW36" s="2"/>
      <c r="AY36" s="2"/>
      <c r="AZ36" s="2"/>
      <c r="BA36" s="2"/>
      <c r="BB36" s="2"/>
    </row>
    <row r="37" spans="1:54" ht="18.75" x14ac:dyDescent="0.3">
      <c r="A37" s="124"/>
      <c r="B37" s="124"/>
      <c r="C37" s="124"/>
      <c r="D37" s="124"/>
      <c r="E37" s="124"/>
      <c r="F37" s="124"/>
      <c r="G37" s="124"/>
      <c r="H37" s="124"/>
      <c r="I37" s="124"/>
      <c r="J37" s="124"/>
      <c r="K37" s="124"/>
      <c r="L37" s="124"/>
      <c r="M37" s="124"/>
      <c r="N37" s="124"/>
      <c r="O37" s="124"/>
      <c r="P37" s="124"/>
      <c r="Q37" s="159"/>
      <c r="R37" s="135"/>
      <c r="S37" s="124"/>
      <c r="T37" s="124"/>
      <c r="U37" s="124"/>
      <c r="V37" s="124"/>
      <c r="W37" s="135"/>
      <c r="X37" s="182">
        <v>5</v>
      </c>
      <c r="Y37" s="321"/>
      <c r="Z37" s="318"/>
      <c r="AA37" s="319"/>
      <c r="AB37" s="322"/>
      <c r="AC37" s="258"/>
      <c r="AD37" s="313"/>
      <c r="AE37" s="314">
        <f t="shared" si="8"/>
        <v>0</v>
      </c>
      <c r="AF37" s="319"/>
      <c r="AG37" s="323"/>
      <c r="AH37" s="315"/>
      <c r="AI37" s="316"/>
      <c r="AJ37" s="314">
        <f>AE37</f>
        <v>0</v>
      </c>
      <c r="AK37" s="301"/>
      <c r="AL37" s="258">
        <f t="shared" si="9"/>
        <v>0</v>
      </c>
      <c r="AM37" s="221">
        <v>5</v>
      </c>
      <c r="AN37" s="22"/>
      <c r="AR37" s="12"/>
      <c r="AS37" s="11"/>
      <c r="AT37" s="11"/>
      <c r="AU37" s="11"/>
      <c r="AV37" s="12"/>
      <c r="AW37" s="2"/>
    </row>
    <row r="38" spans="1:54" ht="18.75" x14ac:dyDescent="0.3">
      <c r="A38" s="124"/>
      <c r="B38" s="124"/>
      <c r="C38" s="124"/>
      <c r="D38" s="124"/>
      <c r="E38" s="124"/>
      <c r="F38" s="124"/>
      <c r="G38" s="124"/>
      <c r="H38" s="124"/>
      <c r="I38" s="124"/>
      <c r="J38" s="124"/>
      <c r="K38" s="124"/>
      <c r="L38" s="124"/>
      <c r="M38" s="124"/>
      <c r="N38" s="124"/>
      <c r="O38" s="124"/>
      <c r="P38" s="124"/>
      <c r="Q38" s="124"/>
      <c r="R38" s="135"/>
      <c r="S38" s="124"/>
      <c r="T38" s="124"/>
      <c r="U38" s="124"/>
      <c r="V38" s="124"/>
      <c r="W38" s="135"/>
      <c r="X38" s="182">
        <v>6</v>
      </c>
      <c r="Y38" s="317"/>
      <c r="Z38" s="318"/>
      <c r="AA38" s="319"/>
      <c r="AB38" s="319"/>
      <c r="AC38" s="277"/>
      <c r="AD38" s="314"/>
      <c r="AE38" s="314">
        <f t="shared" si="8"/>
        <v>0</v>
      </c>
      <c r="AF38" s="319"/>
      <c r="AG38" s="323"/>
      <c r="AH38" s="315"/>
      <c r="AI38" s="316"/>
      <c r="AJ38" s="314">
        <v>0</v>
      </c>
      <c r="AK38" s="301"/>
      <c r="AL38" s="258">
        <f t="shared" si="9"/>
        <v>0</v>
      </c>
      <c r="AM38" s="221">
        <v>6</v>
      </c>
      <c r="AN38" s="16"/>
      <c r="AR38" s="2"/>
      <c r="AS38" s="11"/>
      <c r="AT38" s="11"/>
      <c r="AU38" s="11"/>
      <c r="AV38" s="12"/>
      <c r="AW38" s="2"/>
      <c r="BA38" s="7"/>
    </row>
    <row r="39" spans="1:54" ht="18.75" x14ac:dyDescent="0.3">
      <c r="A39" s="124"/>
      <c r="B39" s="124"/>
      <c r="C39" s="124"/>
      <c r="D39" s="124"/>
      <c r="E39" s="124"/>
      <c r="F39" s="124"/>
      <c r="G39" s="124"/>
      <c r="H39" s="124"/>
      <c r="I39" s="124"/>
      <c r="J39" s="124"/>
      <c r="K39" s="124"/>
      <c r="L39" s="124"/>
      <c r="M39" s="124"/>
      <c r="N39" s="124"/>
      <c r="O39" s="124"/>
      <c r="P39" s="124"/>
      <c r="Q39" s="124"/>
      <c r="R39" s="135"/>
      <c r="S39" s="124"/>
      <c r="T39" s="124"/>
      <c r="U39" s="124"/>
      <c r="V39" s="124"/>
      <c r="W39" s="135"/>
      <c r="X39" s="182">
        <v>7</v>
      </c>
      <c r="Y39" s="200"/>
      <c r="Z39" s="201"/>
      <c r="AA39" s="182"/>
      <c r="AB39" s="182"/>
      <c r="AC39" s="277"/>
      <c r="AD39" s="108"/>
      <c r="AE39" s="108">
        <f t="shared" si="8"/>
        <v>0</v>
      </c>
      <c r="AF39" s="182"/>
      <c r="AG39" s="182"/>
      <c r="AH39" s="202"/>
      <c r="AI39" s="203"/>
      <c r="AJ39" s="108">
        <f t="shared" ref="AJ39:AJ62" si="11">AE39</f>
        <v>0</v>
      </c>
      <c r="AK39" s="301"/>
      <c r="AL39" s="258">
        <f t="shared" si="9"/>
        <v>0</v>
      </c>
      <c r="AM39" s="221">
        <v>7</v>
      </c>
      <c r="AN39" s="16"/>
      <c r="AR39" s="2"/>
      <c r="AS39" s="11"/>
      <c r="AT39" s="11"/>
      <c r="AU39" s="11"/>
      <c r="AV39" s="12"/>
      <c r="AW39" s="2"/>
      <c r="BA39" s="7"/>
    </row>
    <row r="40" spans="1:54" ht="18.75" x14ac:dyDescent="0.3">
      <c r="A40" s="124"/>
      <c r="B40" s="124"/>
      <c r="C40" s="124"/>
      <c r="D40" s="124"/>
      <c r="E40" s="124"/>
      <c r="F40" s="124"/>
      <c r="G40" s="124"/>
      <c r="H40" s="124"/>
      <c r="I40" s="124"/>
      <c r="J40" s="124"/>
      <c r="K40" s="124"/>
      <c r="L40" s="124"/>
      <c r="M40" s="124"/>
      <c r="N40" s="328"/>
      <c r="O40" s="328"/>
      <c r="P40" s="124"/>
      <c r="Q40" s="124"/>
      <c r="R40" s="135"/>
      <c r="S40" s="124"/>
      <c r="T40" s="124"/>
      <c r="U40" s="124"/>
      <c r="V40" s="124"/>
      <c r="W40" s="135"/>
      <c r="X40" s="182">
        <v>8</v>
      </c>
      <c r="Y40" s="200"/>
      <c r="Z40" s="201"/>
      <c r="AA40" s="182"/>
      <c r="AB40" s="182"/>
      <c r="AC40" s="258"/>
      <c r="AD40" s="210"/>
      <c r="AE40" s="108">
        <f t="shared" si="8"/>
        <v>0</v>
      </c>
      <c r="AF40" s="182"/>
      <c r="AG40" s="182"/>
      <c r="AH40" s="202"/>
      <c r="AI40" s="203"/>
      <c r="AJ40" s="108">
        <f t="shared" si="11"/>
        <v>0</v>
      </c>
      <c r="AK40" s="301"/>
      <c r="AL40" s="258">
        <f t="shared" si="9"/>
        <v>0</v>
      </c>
      <c r="AM40" s="221">
        <v>8</v>
      </c>
      <c r="AN40" s="16"/>
      <c r="AR40" s="2"/>
      <c r="AS40" s="11"/>
      <c r="AT40" s="11"/>
      <c r="AU40" s="11"/>
      <c r="AV40" s="12"/>
      <c r="AW40" s="2"/>
    </row>
    <row r="41" spans="1:54" ht="18.75" x14ac:dyDescent="0.3">
      <c r="A41" s="124"/>
      <c r="B41" s="124"/>
      <c r="C41" s="124"/>
      <c r="D41" s="124"/>
      <c r="E41" s="124"/>
      <c r="F41" s="124"/>
      <c r="G41" s="124"/>
      <c r="H41" s="124"/>
      <c r="I41" s="124"/>
      <c r="J41" s="124"/>
      <c r="K41" s="124"/>
      <c r="L41" s="124"/>
      <c r="M41" s="124"/>
      <c r="N41" s="328"/>
      <c r="O41" s="328"/>
      <c r="P41" s="124"/>
      <c r="Q41" s="124"/>
      <c r="R41" s="135"/>
      <c r="S41" s="124"/>
      <c r="T41" s="124"/>
      <c r="U41" s="124"/>
      <c r="V41" s="124"/>
      <c r="W41" s="135"/>
      <c r="X41" s="182">
        <v>9</v>
      </c>
      <c r="Y41" s="200"/>
      <c r="Z41" s="201"/>
      <c r="AA41" s="182"/>
      <c r="AB41" s="182"/>
      <c r="AC41" s="277"/>
      <c r="AD41" s="108"/>
      <c r="AE41" s="108">
        <f t="shared" si="8"/>
        <v>0</v>
      </c>
      <c r="AF41" s="182"/>
      <c r="AG41" s="182"/>
      <c r="AH41" s="202"/>
      <c r="AI41" s="203"/>
      <c r="AJ41" s="108">
        <f t="shared" si="11"/>
        <v>0</v>
      </c>
      <c r="AK41" s="301"/>
      <c r="AL41" s="258">
        <f t="shared" si="9"/>
        <v>0</v>
      </c>
      <c r="AM41" s="221">
        <v>9</v>
      </c>
      <c r="AN41" s="16"/>
      <c r="AR41" s="2"/>
      <c r="AS41" s="11"/>
      <c r="AT41" s="11"/>
      <c r="AU41" s="11"/>
      <c r="AV41" s="12"/>
      <c r="AW41" s="2"/>
    </row>
    <row r="42" spans="1:54" ht="18.75" x14ac:dyDescent="0.3">
      <c r="A42" s="124"/>
      <c r="B42" s="124"/>
      <c r="C42" s="124"/>
      <c r="D42" s="124"/>
      <c r="E42" s="124"/>
      <c r="F42" s="124"/>
      <c r="G42" s="124"/>
      <c r="H42" s="124"/>
      <c r="I42" s="124" t="s">
        <v>14</v>
      </c>
      <c r="J42" s="124"/>
      <c r="K42" s="124"/>
      <c r="L42" s="124"/>
      <c r="M42" s="124"/>
      <c r="N42" s="328"/>
      <c r="O42" s="328"/>
      <c r="P42" s="124"/>
      <c r="Q42" s="124"/>
      <c r="R42" s="135"/>
      <c r="S42" s="124"/>
      <c r="T42" s="124"/>
      <c r="U42" s="124"/>
      <c r="V42" s="124"/>
      <c r="W42" s="135"/>
      <c r="X42" s="182">
        <v>10</v>
      </c>
      <c r="Y42" s="200"/>
      <c r="Z42" s="201"/>
      <c r="AA42" s="182"/>
      <c r="AB42" s="182"/>
      <c r="AC42" s="258"/>
      <c r="AD42" s="210"/>
      <c r="AE42" s="108">
        <f t="shared" si="8"/>
        <v>0</v>
      </c>
      <c r="AF42" s="182"/>
      <c r="AG42" s="182"/>
      <c r="AH42" s="202"/>
      <c r="AI42" s="203"/>
      <c r="AJ42" s="108">
        <f t="shared" si="11"/>
        <v>0</v>
      </c>
      <c r="AK42" s="163"/>
      <c r="AL42" s="258">
        <f t="shared" si="9"/>
        <v>0</v>
      </c>
      <c r="AM42" s="221">
        <v>10</v>
      </c>
      <c r="AN42" s="16"/>
      <c r="AR42" s="2"/>
      <c r="AS42" s="11"/>
      <c r="AT42" s="11"/>
      <c r="AU42" s="11"/>
      <c r="AV42" s="2"/>
      <c r="AW42" s="2"/>
    </row>
    <row r="43" spans="1:54" ht="15.75" x14ac:dyDescent="0.25">
      <c r="A43" s="124"/>
      <c r="B43" s="124"/>
      <c r="C43" s="279"/>
      <c r="D43" s="279"/>
      <c r="E43" s="124"/>
      <c r="F43" s="124"/>
      <c r="G43" s="124"/>
      <c r="H43" s="124"/>
      <c r="I43" s="124"/>
      <c r="J43" s="124"/>
      <c r="K43" s="124"/>
      <c r="L43" s="124"/>
      <c r="M43" s="124"/>
      <c r="N43" s="328"/>
      <c r="O43" s="329"/>
      <c r="P43" s="124"/>
      <c r="Q43" s="124"/>
      <c r="R43" s="135"/>
      <c r="S43" s="124"/>
      <c r="T43" s="124"/>
      <c r="U43" s="124"/>
      <c r="V43" s="124"/>
      <c r="W43" s="135"/>
      <c r="X43" s="182">
        <v>11</v>
      </c>
      <c r="Y43" s="200"/>
      <c r="Z43" s="201"/>
      <c r="AA43" s="182"/>
      <c r="AB43" s="182"/>
      <c r="AC43" s="258"/>
      <c r="AD43" s="210"/>
      <c r="AE43" s="108">
        <f t="shared" si="8"/>
        <v>0</v>
      </c>
      <c r="AF43" s="182"/>
      <c r="AG43" s="182"/>
      <c r="AH43" s="202"/>
      <c r="AI43" s="203"/>
      <c r="AJ43" s="108">
        <f t="shared" si="11"/>
        <v>0</v>
      </c>
      <c r="AK43" s="23"/>
      <c r="AL43" s="258">
        <f t="shared" si="9"/>
        <v>0</v>
      </c>
      <c r="AM43" s="221">
        <v>11</v>
      </c>
      <c r="AN43" s="38"/>
      <c r="AR43" s="2"/>
      <c r="AS43" s="11"/>
      <c r="AT43" s="11"/>
      <c r="AU43" s="11"/>
      <c r="AV43" s="2"/>
    </row>
    <row r="44" spans="1:54" ht="15.75" x14ac:dyDescent="0.25">
      <c r="A44" s="124"/>
      <c r="B44" s="124"/>
      <c r="C44" s="124"/>
      <c r="D44" s="124"/>
      <c r="E44" s="124"/>
      <c r="F44" s="124"/>
      <c r="G44" s="124"/>
      <c r="H44" s="124"/>
      <c r="I44" s="124"/>
      <c r="J44" s="135"/>
      <c r="K44" s="124"/>
      <c r="L44" s="124"/>
      <c r="M44" s="124"/>
      <c r="N44" s="328"/>
      <c r="O44" s="328"/>
      <c r="P44" s="124"/>
      <c r="Q44" s="124"/>
      <c r="R44" s="135"/>
      <c r="S44" s="124"/>
      <c r="T44" s="124"/>
      <c r="U44" s="124"/>
      <c r="V44" s="124"/>
      <c r="W44" s="135"/>
      <c r="X44" s="182">
        <v>12</v>
      </c>
      <c r="Y44" s="200"/>
      <c r="Z44" s="201"/>
      <c r="AA44" s="221"/>
      <c r="AB44" s="182"/>
      <c r="AC44" s="258"/>
      <c r="AD44" s="210"/>
      <c r="AE44" s="108">
        <f t="shared" si="8"/>
        <v>0</v>
      </c>
      <c r="AF44" s="182"/>
      <c r="AG44" s="182"/>
      <c r="AH44" s="202"/>
      <c r="AI44" s="203"/>
      <c r="AJ44" s="108">
        <f t="shared" si="11"/>
        <v>0</v>
      </c>
      <c r="AK44" s="25"/>
      <c r="AL44" s="258">
        <f t="shared" si="9"/>
        <v>0</v>
      </c>
      <c r="AM44" s="221">
        <v>12</v>
      </c>
      <c r="AN44" s="28"/>
      <c r="AR44" s="2"/>
      <c r="AS44" s="11"/>
      <c r="AT44" s="11"/>
      <c r="AU44" s="11"/>
      <c r="AV44" s="2"/>
    </row>
    <row r="45" spans="1:54" ht="15.75" x14ac:dyDescent="0.25">
      <c r="A45" s="135"/>
      <c r="B45" s="135"/>
      <c r="C45" s="135"/>
      <c r="D45" s="135"/>
      <c r="E45" s="135"/>
      <c r="F45" s="135"/>
      <c r="G45" s="135"/>
      <c r="H45" s="135"/>
      <c r="I45" s="135"/>
      <c r="J45" s="135"/>
      <c r="K45" s="135"/>
      <c r="L45" s="135"/>
      <c r="M45" s="135"/>
      <c r="N45" s="330"/>
      <c r="O45" s="331"/>
      <c r="P45" s="135"/>
      <c r="Q45" s="124"/>
      <c r="R45" s="135"/>
      <c r="S45" s="124"/>
      <c r="T45" s="124"/>
      <c r="U45" s="124"/>
      <c r="V45" s="124"/>
      <c r="W45" s="135"/>
      <c r="X45" s="182">
        <v>13</v>
      </c>
      <c r="Y45" s="200"/>
      <c r="Z45" s="201"/>
      <c r="AA45" s="182"/>
      <c r="AB45" s="182"/>
      <c r="AC45" s="258"/>
      <c r="AD45" s="210"/>
      <c r="AE45" s="108">
        <f t="shared" si="8"/>
        <v>0</v>
      </c>
      <c r="AF45" s="182"/>
      <c r="AG45" s="208"/>
      <c r="AH45" s="202"/>
      <c r="AI45" s="203"/>
      <c r="AJ45" s="108">
        <f t="shared" si="11"/>
        <v>0</v>
      </c>
      <c r="AK45" s="25"/>
      <c r="AL45" s="258">
        <f t="shared" si="9"/>
        <v>0</v>
      </c>
      <c r="AM45" s="221">
        <v>13</v>
      </c>
      <c r="AN45" s="32"/>
      <c r="AR45" s="2"/>
      <c r="AS45" s="11"/>
      <c r="AT45" s="11"/>
      <c r="AU45" s="11"/>
      <c r="AV45" s="2"/>
    </row>
    <row r="46" spans="1:54" ht="18.75" x14ac:dyDescent="0.3">
      <c r="A46" s="135"/>
      <c r="B46" s="135"/>
      <c r="C46" s="135"/>
      <c r="D46" s="135"/>
      <c r="E46" s="135"/>
      <c r="F46" s="135"/>
      <c r="G46" s="135"/>
      <c r="H46" s="135"/>
      <c r="I46" s="135"/>
      <c r="J46" s="124"/>
      <c r="K46" s="135"/>
      <c r="L46" s="135"/>
      <c r="M46" s="135"/>
      <c r="N46" s="135"/>
      <c r="O46" s="135"/>
      <c r="P46" s="135" t="s">
        <v>14</v>
      </c>
      <c r="Q46" s="124"/>
      <c r="R46" s="135"/>
      <c r="S46" s="124"/>
      <c r="T46" s="124"/>
      <c r="U46" s="124"/>
      <c r="V46" s="124"/>
      <c r="W46" s="135"/>
      <c r="X46" s="182">
        <v>14</v>
      </c>
      <c r="Y46" s="200"/>
      <c r="Z46" s="201"/>
      <c r="AA46" s="182"/>
      <c r="AB46" s="182"/>
      <c r="AC46" s="258"/>
      <c r="AD46" s="210"/>
      <c r="AE46" s="108">
        <f t="shared" ref="AE46:AE62" si="12">SUM(AC46:AD46)</f>
        <v>0</v>
      </c>
      <c r="AF46" s="182"/>
      <c r="AG46" s="226"/>
      <c r="AH46" s="202"/>
      <c r="AI46" s="203"/>
      <c r="AJ46" s="108">
        <f t="shared" si="11"/>
        <v>0</v>
      </c>
      <c r="AK46" s="163"/>
      <c r="AL46" s="258">
        <f t="shared" si="9"/>
        <v>0</v>
      </c>
      <c r="AM46" s="221">
        <v>14</v>
      </c>
      <c r="AN46" s="34"/>
      <c r="AR46" s="2"/>
      <c r="AS46" s="11"/>
      <c r="AT46" s="11"/>
      <c r="AU46" s="11"/>
      <c r="AV46" s="2"/>
    </row>
    <row r="47" spans="1:54" ht="15.75" x14ac:dyDescent="0.25">
      <c r="A47" s="280"/>
      <c r="B47" s="135"/>
      <c r="C47" s="135"/>
      <c r="D47" s="135"/>
      <c r="E47" s="135"/>
      <c r="F47" s="281"/>
      <c r="G47" s="135"/>
      <c r="H47" s="135"/>
      <c r="I47" s="135"/>
      <c r="J47" s="135"/>
      <c r="K47" s="135"/>
      <c r="L47" s="135"/>
      <c r="M47" s="135"/>
      <c r="N47" s="135"/>
      <c r="O47" s="135"/>
      <c r="P47" s="135"/>
      <c r="Q47" s="124"/>
      <c r="R47" s="135"/>
      <c r="S47" s="124"/>
      <c r="T47" s="124"/>
      <c r="U47" s="124"/>
      <c r="V47" s="124"/>
      <c r="W47" s="135"/>
      <c r="X47" s="182">
        <v>15</v>
      </c>
      <c r="Y47" s="200"/>
      <c r="Z47" s="201"/>
      <c r="AA47" s="182"/>
      <c r="AB47" s="228"/>
      <c r="AC47" s="258"/>
      <c r="AD47" s="210"/>
      <c r="AE47" s="108">
        <f t="shared" si="12"/>
        <v>0</v>
      </c>
      <c r="AF47" s="182"/>
      <c r="AG47" s="182"/>
      <c r="AH47" s="202"/>
      <c r="AI47" s="203"/>
      <c r="AJ47" s="108">
        <f t="shared" si="11"/>
        <v>0</v>
      </c>
      <c r="AK47" s="23"/>
      <c r="AL47" s="258">
        <f t="shared" si="9"/>
        <v>0</v>
      </c>
      <c r="AM47" s="221">
        <v>15</v>
      </c>
      <c r="AN47" s="24"/>
      <c r="BA47" s="7"/>
    </row>
    <row r="48" spans="1:54" ht="15.75" x14ac:dyDescent="0.25">
      <c r="A48" s="280"/>
      <c r="B48" s="135"/>
      <c r="C48" s="135"/>
      <c r="D48" s="135"/>
      <c r="E48" s="135"/>
      <c r="F48" s="135"/>
      <c r="G48" s="135"/>
      <c r="H48" s="135"/>
      <c r="I48" s="135"/>
      <c r="J48" s="135"/>
      <c r="K48" s="135"/>
      <c r="L48" s="135"/>
      <c r="M48" s="135"/>
      <c r="N48" s="135"/>
      <c r="O48" s="135"/>
      <c r="P48" s="135"/>
      <c r="Q48" s="124"/>
      <c r="R48" s="135"/>
      <c r="S48" s="124"/>
      <c r="T48" s="124"/>
      <c r="U48" s="124"/>
      <c r="V48" s="124"/>
      <c r="W48" s="135"/>
      <c r="X48" s="182">
        <v>16</v>
      </c>
      <c r="Y48" s="200"/>
      <c r="Z48" s="201"/>
      <c r="AA48" s="182"/>
      <c r="AB48" s="182"/>
      <c r="AC48" s="258"/>
      <c r="AD48" s="210"/>
      <c r="AE48" s="108">
        <f t="shared" si="12"/>
        <v>0</v>
      </c>
      <c r="AF48" s="182"/>
      <c r="AG48" s="182"/>
      <c r="AH48" s="202"/>
      <c r="AI48" s="203"/>
      <c r="AJ48" s="108">
        <f t="shared" si="11"/>
        <v>0</v>
      </c>
      <c r="AK48" s="23"/>
      <c r="AL48" s="258">
        <f t="shared" si="9"/>
        <v>0</v>
      </c>
      <c r="AM48" s="221">
        <v>16</v>
      </c>
      <c r="AN48" s="24"/>
      <c r="AY48" s="7"/>
      <c r="BA48" s="7"/>
    </row>
    <row r="49" spans="1:54" ht="18.75" x14ac:dyDescent="0.3">
      <c r="A49" s="280"/>
      <c r="B49" s="135"/>
      <c r="C49" s="135"/>
      <c r="D49" s="135"/>
      <c r="E49" s="135"/>
      <c r="F49" s="281"/>
      <c r="G49" s="135"/>
      <c r="H49" s="135"/>
      <c r="I49" s="135"/>
      <c r="J49" s="135"/>
      <c r="K49" s="135"/>
      <c r="L49" s="135"/>
      <c r="M49" s="135"/>
      <c r="N49" s="135"/>
      <c r="O49" s="135"/>
      <c r="P49" s="135"/>
      <c r="Q49" s="124"/>
      <c r="R49" s="135"/>
      <c r="S49" s="124"/>
      <c r="T49" s="124"/>
      <c r="U49" s="124"/>
      <c r="V49" s="124"/>
      <c r="W49" s="135"/>
      <c r="X49" s="182">
        <v>17</v>
      </c>
      <c r="Y49" s="223"/>
      <c r="Z49" s="224"/>
      <c r="AA49" s="208"/>
      <c r="AB49" s="208"/>
      <c r="AC49" s="277"/>
      <c r="AD49" s="108"/>
      <c r="AE49" s="108">
        <f t="shared" si="12"/>
        <v>0</v>
      </c>
      <c r="AF49" s="208"/>
      <c r="AG49" s="208"/>
      <c r="AH49" s="202"/>
      <c r="AI49" s="203"/>
      <c r="AJ49" s="108">
        <f t="shared" si="11"/>
        <v>0</v>
      </c>
      <c r="AK49" s="163"/>
      <c r="AL49" s="258">
        <f t="shared" si="9"/>
        <v>0</v>
      </c>
      <c r="AM49" s="221">
        <v>17</v>
      </c>
      <c r="AN49" s="22"/>
      <c r="AY49" s="7"/>
      <c r="BA49" s="7"/>
    </row>
    <row r="50" spans="1:54" ht="18.75" x14ac:dyDescent="0.3">
      <c r="A50" s="280"/>
      <c r="B50" s="135"/>
      <c r="C50" s="135"/>
      <c r="D50" s="135"/>
      <c r="E50" s="135"/>
      <c r="F50" s="281"/>
      <c r="G50" s="135"/>
      <c r="H50" s="135"/>
      <c r="I50" s="135"/>
      <c r="J50" s="135"/>
      <c r="K50" s="135"/>
      <c r="L50" s="135"/>
      <c r="M50" s="135"/>
      <c r="N50" s="135"/>
      <c r="O50" s="135"/>
      <c r="P50" s="135"/>
      <c r="Q50" s="124"/>
      <c r="R50" s="135"/>
      <c r="S50" s="124"/>
      <c r="T50" s="124"/>
      <c r="U50" s="124"/>
      <c r="V50" s="124"/>
      <c r="W50" s="135"/>
      <c r="X50" s="182">
        <v>18</v>
      </c>
      <c r="Y50" s="200"/>
      <c r="Z50" s="201"/>
      <c r="AA50" s="182"/>
      <c r="AB50" s="182"/>
      <c r="AC50" s="277"/>
      <c r="AD50" s="108"/>
      <c r="AE50" s="108">
        <f t="shared" si="12"/>
        <v>0</v>
      </c>
      <c r="AF50" s="182"/>
      <c r="AG50" s="216"/>
      <c r="AH50" s="202"/>
      <c r="AI50" s="203"/>
      <c r="AJ50" s="108">
        <f t="shared" si="11"/>
        <v>0</v>
      </c>
      <c r="AK50" s="163"/>
      <c r="AL50" s="258">
        <f t="shared" si="9"/>
        <v>0</v>
      </c>
      <c r="AM50" s="221">
        <v>18</v>
      </c>
      <c r="AN50" s="22"/>
      <c r="AY50" s="2"/>
    </row>
    <row r="51" spans="1:54" ht="18.75" x14ac:dyDescent="0.3">
      <c r="A51" s="280"/>
      <c r="B51" s="135"/>
      <c r="C51" s="135"/>
      <c r="D51" s="135"/>
      <c r="E51" s="135"/>
      <c r="F51" s="281"/>
      <c r="G51" s="135"/>
      <c r="H51" s="135"/>
      <c r="I51" s="135"/>
      <c r="J51" s="135"/>
      <c r="K51" s="135"/>
      <c r="L51" s="135"/>
      <c r="M51" s="135"/>
      <c r="N51" s="135"/>
      <c r="O51" s="135"/>
      <c r="P51" s="135"/>
      <c r="Q51" s="124"/>
      <c r="R51" s="135"/>
      <c r="S51" s="124"/>
      <c r="T51" s="124"/>
      <c r="U51" s="124"/>
      <c r="V51" s="124"/>
      <c r="W51" s="135"/>
      <c r="X51" s="182">
        <v>19</v>
      </c>
      <c r="Y51" s="200"/>
      <c r="Z51" s="201"/>
      <c r="AA51" s="182"/>
      <c r="AB51" s="221"/>
      <c r="AC51" s="277"/>
      <c r="AD51" s="108"/>
      <c r="AE51" s="108">
        <f t="shared" si="12"/>
        <v>0</v>
      </c>
      <c r="AF51" s="182"/>
      <c r="AG51" s="182"/>
      <c r="AH51" s="202"/>
      <c r="AI51" s="203"/>
      <c r="AJ51" s="108">
        <f t="shared" si="11"/>
        <v>0</v>
      </c>
      <c r="AK51" s="163"/>
      <c r="AL51" s="258">
        <f t="shared" si="9"/>
        <v>0</v>
      </c>
      <c r="AM51" s="221">
        <v>19</v>
      </c>
      <c r="AN51" s="22"/>
      <c r="AR51" s="2"/>
      <c r="AS51" s="2"/>
      <c r="AT51" s="2"/>
      <c r="AU51" s="2"/>
      <c r="AV51" s="2"/>
      <c r="AY51" s="2"/>
      <c r="AZ51" s="2"/>
      <c r="BA51" s="2"/>
      <c r="BB51" s="2"/>
    </row>
    <row r="52" spans="1:54" ht="18.75" x14ac:dyDescent="0.3">
      <c r="A52" s="280"/>
      <c r="B52" s="135"/>
      <c r="C52" s="135"/>
      <c r="D52" s="135"/>
      <c r="E52" s="135"/>
      <c r="F52" s="135"/>
      <c r="G52" s="135"/>
      <c r="H52" s="135"/>
      <c r="I52" s="135"/>
      <c r="J52" s="135"/>
      <c r="K52" s="135"/>
      <c r="L52" s="135"/>
      <c r="M52" s="135"/>
      <c r="N52" s="135"/>
      <c r="O52" s="135"/>
      <c r="P52" s="135"/>
      <c r="Q52" s="124"/>
      <c r="R52" s="135"/>
      <c r="S52" s="124"/>
      <c r="T52" s="124"/>
      <c r="U52" s="124"/>
      <c r="V52" s="124"/>
      <c r="W52" s="135"/>
      <c r="X52" s="182">
        <v>20</v>
      </c>
      <c r="Y52" s="200"/>
      <c r="Z52" s="201"/>
      <c r="AA52" s="182"/>
      <c r="AB52" s="182"/>
      <c r="AC52" s="277"/>
      <c r="AD52" s="108"/>
      <c r="AE52" s="108">
        <f t="shared" si="12"/>
        <v>0</v>
      </c>
      <c r="AF52" s="182"/>
      <c r="AG52" s="182"/>
      <c r="AH52" s="202"/>
      <c r="AI52" s="203"/>
      <c r="AJ52" s="108">
        <f t="shared" si="11"/>
        <v>0</v>
      </c>
      <c r="AK52" s="163"/>
      <c r="AL52" s="258">
        <f t="shared" si="9"/>
        <v>0</v>
      </c>
      <c r="AM52" s="221">
        <v>20</v>
      </c>
      <c r="AN52" s="22"/>
      <c r="AR52" s="92"/>
      <c r="AS52" s="11"/>
      <c r="AT52" s="11"/>
      <c r="AU52" s="2"/>
      <c r="AV52" s="2"/>
      <c r="AY52" s="2"/>
      <c r="AZ52" s="2"/>
      <c r="BA52" s="12"/>
      <c r="BB52" s="2"/>
    </row>
    <row r="53" spans="1:54" ht="18.75" x14ac:dyDescent="0.3">
      <c r="A53" s="280"/>
      <c r="B53" s="135"/>
      <c r="C53" s="135"/>
      <c r="D53" s="135"/>
      <c r="E53" s="135"/>
      <c r="F53" s="135"/>
      <c r="G53" s="135"/>
      <c r="H53" s="135"/>
      <c r="I53" s="135"/>
      <c r="J53" s="135"/>
      <c r="K53" s="135"/>
      <c r="L53" s="135"/>
      <c r="M53" s="135"/>
      <c r="N53" s="135"/>
      <c r="O53" s="135"/>
      <c r="P53" s="135"/>
      <c r="Q53" s="124"/>
      <c r="R53" s="135"/>
      <c r="S53" s="124"/>
      <c r="T53" s="124"/>
      <c r="U53" s="124"/>
      <c r="V53" s="124"/>
      <c r="W53" s="135"/>
      <c r="X53" s="182">
        <v>21</v>
      </c>
      <c r="Y53" s="200"/>
      <c r="Z53" s="201"/>
      <c r="AA53" s="182"/>
      <c r="AB53" s="225"/>
      <c r="AC53" s="277"/>
      <c r="AD53" s="108"/>
      <c r="AE53" s="108">
        <f t="shared" si="12"/>
        <v>0</v>
      </c>
      <c r="AF53" s="182"/>
      <c r="AG53" s="182"/>
      <c r="AH53" s="202"/>
      <c r="AI53" s="203"/>
      <c r="AJ53" s="108">
        <f t="shared" si="11"/>
        <v>0</v>
      </c>
      <c r="AK53" s="163"/>
      <c r="AL53" s="258">
        <f t="shared" si="9"/>
        <v>0</v>
      </c>
      <c r="AM53" s="221">
        <v>21</v>
      </c>
      <c r="AN53" s="16"/>
      <c r="AR53" s="92"/>
      <c r="AS53" s="11"/>
      <c r="AT53" s="11"/>
      <c r="AU53" s="2"/>
      <c r="AV53" s="2"/>
      <c r="AY53" s="12"/>
      <c r="AZ53" s="2"/>
      <c r="BA53" s="12"/>
      <c r="BB53" s="2"/>
    </row>
    <row r="54" spans="1:54" ht="18.75" x14ac:dyDescent="0.3">
      <c r="A54" s="280"/>
      <c r="B54" s="135"/>
      <c r="C54" s="135"/>
      <c r="D54" s="135"/>
      <c r="E54" s="135"/>
      <c r="F54" s="135"/>
      <c r="G54" s="135"/>
      <c r="H54" s="135"/>
      <c r="I54" s="135"/>
      <c r="J54" s="135"/>
      <c r="K54" s="135"/>
      <c r="L54" s="135"/>
      <c r="M54" s="135"/>
      <c r="N54" s="135"/>
      <c r="O54" s="135"/>
      <c r="P54" s="135"/>
      <c r="Q54" s="124"/>
      <c r="R54" s="135"/>
      <c r="S54" s="124"/>
      <c r="T54" s="124"/>
      <c r="U54" s="124"/>
      <c r="V54" s="124"/>
      <c r="W54" s="135"/>
      <c r="X54" s="182">
        <v>22</v>
      </c>
      <c r="Y54" s="200"/>
      <c r="Z54" s="201"/>
      <c r="AA54" s="182"/>
      <c r="AB54" s="182"/>
      <c r="AC54" s="277"/>
      <c r="AD54" s="108"/>
      <c r="AE54" s="108">
        <f t="shared" si="12"/>
        <v>0</v>
      </c>
      <c r="AF54" s="182"/>
      <c r="AG54" s="182"/>
      <c r="AH54" s="202"/>
      <c r="AI54" s="203"/>
      <c r="AJ54" s="108">
        <f t="shared" si="11"/>
        <v>0</v>
      </c>
      <c r="AK54" s="163"/>
      <c r="AL54" s="258">
        <f t="shared" si="9"/>
        <v>0</v>
      </c>
      <c r="AM54" s="221">
        <v>22</v>
      </c>
      <c r="AN54" s="22"/>
      <c r="AR54" s="92"/>
      <c r="AS54" s="11"/>
      <c r="AT54" s="11"/>
      <c r="AU54" s="2"/>
      <c r="AV54" s="2"/>
      <c r="AY54" s="12"/>
      <c r="AZ54" s="2"/>
      <c r="BA54" s="12"/>
      <c r="BB54" s="2"/>
    </row>
    <row r="55" spans="1:54" ht="18.75" x14ac:dyDescent="0.3">
      <c r="A55" s="280"/>
      <c r="B55" s="135"/>
      <c r="C55" s="135"/>
      <c r="D55" s="135"/>
      <c r="E55" s="135"/>
      <c r="F55" s="135"/>
      <c r="G55" s="135"/>
      <c r="H55" s="135"/>
      <c r="I55" s="135"/>
      <c r="J55" s="135"/>
      <c r="K55" s="135"/>
      <c r="L55" s="135"/>
      <c r="M55" s="135"/>
      <c r="N55" s="135"/>
      <c r="O55" s="135"/>
      <c r="P55" s="135"/>
      <c r="Q55" s="124"/>
      <c r="R55" s="135"/>
      <c r="S55" s="124"/>
      <c r="T55" s="124"/>
      <c r="U55" s="124"/>
      <c r="V55" s="124"/>
      <c r="W55" s="135"/>
      <c r="X55" s="182">
        <v>23</v>
      </c>
      <c r="Y55" s="217"/>
      <c r="Z55" s="201"/>
      <c r="AA55" s="182"/>
      <c r="AB55" s="221"/>
      <c r="AC55" s="277"/>
      <c r="AD55" s="108"/>
      <c r="AE55" s="108">
        <f t="shared" si="12"/>
        <v>0</v>
      </c>
      <c r="AF55" s="182"/>
      <c r="AG55" s="216"/>
      <c r="AH55" s="202"/>
      <c r="AI55" s="203"/>
      <c r="AJ55" s="108">
        <f t="shared" si="11"/>
        <v>0</v>
      </c>
      <c r="AK55" s="163"/>
      <c r="AL55" s="258">
        <f t="shared" si="9"/>
        <v>0</v>
      </c>
      <c r="AM55" s="221">
        <v>23</v>
      </c>
      <c r="AN55" s="22"/>
      <c r="AR55" s="92"/>
      <c r="AS55" s="2"/>
      <c r="AT55" s="2"/>
      <c r="AU55" s="2"/>
      <c r="AV55" s="2"/>
      <c r="AY55" s="2"/>
      <c r="AZ55" s="2"/>
      <c r="BA55" s="12"/>
      <c r="BB55" s="2"/>
    </row>
    <row r="56" spans="1:54" ht="18.75" x14ac:dyDescent="0.3">
      <c r="A56" s="280"/>
      <c r="B56" s="135"/>
      <c r="C56" s="135"/>
      <c r="D56" s="135"/>
      <c r="E56" s="135"/>
      <c r="F56" s="135"/>
      <c r="G56" s="135"/>
      <c r="H56" s="135"/>
      <c r="I56" s="135"/>
      <c r="J56" s="135"/>
      <c r="K56" s="135"/>
      <c r="L56" s="135"/>
      <c r="M56" s="135"/>
      <c r="N56" s="135"/>
      <c r="O56" s="135"/>
      <c r="P56" s="135"/>
      <c r="Q56" s="124"/>
      <c r="R56" s="135"/>
      <c r="S56" s="124"/>
      <c r="T56" s="124"/>
      <c r="U56" s="124"/>
      <c r="V56" s="124"/>
      <c r="W56" s="135"/>
      <c r="X56" s="182">
        <v>24</v>
      </c>
      <c r="Y56" s="200"/>
      <c r="Z56" s="201"/>
      <c r="AA56" s="182"/>
      <c r="AB56" s="182"/>
      <c r="AC56" s="277"/>
      <c r="AD56" s="108"/>
      <c r="AE56" s="108">
        <f t="shared" si="12"/>
        <v>0</v>
      </c>
      <c r="AF56" s="182"/>
      <c r="AG56" s="182"/>
      <c r="AH56" s="202"/>
      <c r="AI56" s="203"/>
      <c r="AJ56" s="108">
        <f t="shared" si="11"/>
        <v>0</v>
      </c>
      <c r="AK56" s="301"/>
      <c r="AL56" s="258">
        <f t="shared" si="9"/>
        <v>0</v>
      </c>
      <c r="AM56" s="221">
        <v>24</v>
      </c>
      <c r="AN56" s="22"/>
      <c r="AR56" s="2"/>
      <c r="AS56" s="2"/>
      <c r="AT56" s="2"/>
      <c r="AU56" s="2"/>
      <c r="AV56" s="2"/>
      <c r="AY56" s="2"/>
      <c r="AZ56" s="2"/>
      <c r="BA56" s="2"/>
      <c r="BB56" s="2"/>
    </row>
    <row r="57" spans="1:54" ht="18.75" x14ac:dyDescent="0.3">
      <c r="A57" s="280"/>
      <c r="B57" s="135"/>
      <c r="C57" s="135"/>
      <c r="D57" s="135"/>
      <c r="E57" s="135"/>
      <c r="F57" s="135"/>
      <c r="G57" s="135"/>
      <c r="H57" s="135"/>
      <c r="I57" s="135"/>
      <c r="J57" s="135"/>
      <c r="K57" s="135"/>
      <c r="L57" s="135"/>
      <c r="M57" s="135"/>
      <c r="N57" s="135"/>
      <c r="O57" s="135"/>
      <c r="P57" s="135"/>
      <c r="Q57" s="124"/>
      <c r="R57" s="135"/>
      <c r="S57" s="124"/>
      <c r="T57" s="124"/>
      <c r="U57" s="124"/>
      <c r="V57" s="124"/>
      <c r="W57" s="135"/>
      <c r="X57" s="182">
        <v>25</v>
      </c>
      <c r="Y57" s="200"/>
      <c r="Z57" s="201"/>
      <c r="AA57" s="182"/>
      <c r="AB57" s="182"/>
      <c r="AC57" s="277"/>
      <c r="AD57" s="108"/>
      <c r="AE57" s="108">
        <f t="shared" si="12"/>
        <v>0</v>
      </c>
      <c r="AF57" s="182"/>
      <c r="AG57" s="182"/>
      <c r="AH57" s="202"/>
      <c r="AI57" s="203"/>
      <c r="AJ57" s="108">
        <f t="shared" si="11"/>
        <v>0</v>
      </c>
      <c r="AK57" s="163"/>
      <c r="AL57" s="258">
        <f t="shared" si="9"/>
        <v>0</v>
      </c>
      <c r="AM57" s="221">
        <v>25</v>
      </c>
      <c r="AN57" s="36"/>
      <c r="AR57" s="92"/>
      <c r="AS57" s="2"/>
      <c r="AT57" s="2"/>
      <c r="AU57" s="2"/>
      <c r="AV57" s="2"/>
      <c r="AY57" s="2"/>
      <c r="AZ57" s="2"/>
      <c r="BA57" s="2"/>
      <c r="BB57" s="2"/>
    </row>
    <row r="58" spans="1:54" ht="18.75" x14ac:dyDescent="0.3">
      <c r="A58" s="280"/>
      <c r="B58" s="135"/>
      <c r="C58" s="135"/>
      <c r="D58" s="135"/>
      <c r="E58" s="135"/>
      <c r="F58" s="135"/>
      <c r="G58" s="135"/>
      <c r="H58" s="135"/>
      <c r="I58" s="135"/>
      <c r="J58" s="135"/>
      <c r="K58" s="135"/>
      <c r="L58" s="135"/>
      <c r="M58" s="135"/>
      <c r="N58" s="135"/>
      <c r="O58" s="135"/>
      <c r="P58" s="135"/>
      <c r="Q58" s="124"/>
      <c r="R58" s="135"/>
      <c r="S58" s="124"/>
      <c r="T58" s="124"/>
      <c r="U58" s="124"/>
      <c r="V58" s="124"/>
      <c r="W58" s="135"/>
      <c r="X58" s="182">
        <v>26</v>
      </c>
      <c r="Y58" s="200"/>
      <c r="Z58" s="201"/>
      <c r="AA58" s="182"/>
      <c r="AB58" s="182"/>
      <c r="AC58" s="277"/>
      <c r="AD58" s="108"/>
      <c r="AE58" s="108">
        <f t="shared" si="12"/>
        <v>0</v>
      </c>
      <c r="AF58" s="182"/>
      <c r="AG58" s="182"/>
      <c r="AH58" s="202"/>
      <c r="AI58" s="203"/>
      <c r="AJ58" s="108">
        <f t="shared" si="11"/>
        <v>0</v>
      </c>
      <c r="AK58" s="163"/>
      <c r="AL58" s="258">
        <f t="shared" si="9"/>
        <v>0</v>
      </c>
      <c r="AM58" s="221">
        <v>26</v>
      </c>
      <c r="AN58" s="16"/>
      <c r="AR58" s="2"/>
      <c r="AS58" s="2"/>
      <c r="AT58" s="2"/>
      <c r="AU58" s="2"/>
      <c r="AV58" s="2"/>
      <c r="AY58" s="2"/>
      <c r="AZ58" s="2"/>
      <c r="BA58" s="2"/>
      <c r="BB58" s="2"/>
    </row>
    <row r="59" spans="1:54" ht="18.75" x14ac:dyDescent="0.3">
      <c r="A59" s="280"/>
      <c r="B59" s="135"/>
      <c r="C59" s="135"/>
      <c r="D59" s="135"/>
      <c r="E59" s="135"/>
      <c r="F59" s="135"/>
      <c r="G59" s="135"/>
      <c r="H59" s="135"/>
      <c r="I59" s="135"/>
      <c r="J59" s="135"/>
      <c r="K59" s="135"/>
      <c r="L59" s="135"/>
      <c r="M59" s="135"/>
      <c r="N59" s="135"/>
      <c r="O59" s="135"/>
      <c r="P59" s="135"/>
      <c r="Q59" s="124"/>
      <c r="R59" s="135"/>
      <c r="S59" s="124"/>
      <c r="T59" s="124"/>
      <c r="U59" s="124"/>
      <c r="V59" s="124"/>
      <c r="W59" s="135"/>
      <c r="X59" s="182">
        <v>27</v>
      </c>
      <c r="Y59" s="200"/>
      <c r="Z59" s="201"/>
      <c r="AA59" s="182"/>
      <c r="AB59" s="182"/>
      <c r="AC59" s="277"/>
      <c r="AD59" s="108"/>
      <c r="AE59" s="108">
        <f t="shared" si="12"/>
        <v>0</v>
      </c>
      <c r="AF59" s="182"/>
      <c r="AG59" s="182"/>
      <c r="AH59" s="202"/>
      <c r="AI59" s="203"/>
      <c r="AJ59" s="108">
        <f t="shared" si="11"/>
        <v>0</v>
      </c>
      <c r="AK59" s="163"/>
      <c r="AL59" s="258">
        <f t="shared" si="9"/>
        <v>0</v>
      </c>
      <c r="AM59" s="221">
        <v>27</v>
      </c>
      <c r="AN59" s="16"/>
      <c r="AR59" s="2"/>
      <c r="AS59" s="2"/>
      <c r="AT59" s="2"/>
      <c r="AU59" s="2"/>
      <c r="AV59" s="12"/>
      <c r="AY59" s="2"/>
      <c r="AZ59" s="2"/>
      <c r="BA59" s="2"/>
      <c r="BB59" s="2"/>
    </row>
    <row r="60" spans="1:54" ht="18.75" x14ac:dyDescent="0.3">
      <c r="A60" s="280"/>
      <c r="B60" s="135"/>
      <c r="C60" s="135"/>
      <c r="D60" s="135"/>
      <c r="E60" s="135"/>
      <c r="F60" s="135"/>
      <c r="G60" s="135"/>
      <c r="H60" s="135"/>
      <c r="I60" s="135"/>
      <c r="J60" s="135"/>
      <c r="K60" s="135"/>
      <c r="L60" s="135"/>
      <c r="M60" s="135"/>
      <c r="N60" s="135"/>
      <c r="O60" s="135"/>
      <c r="P60" s="135"/>
      <c r="Q60" s="124"/>
      <c r="R60" s="135"/>
      <c r="S60" s="124"/>
      <c r="T60" s="124"/>
      <c r="U60" s="124"/>
      <c r="V60" s="124"/>
      <c r="W60" s="135"/>
      <c r="X60" s="182">
        <v>28</v>
      </c>
      <c r="Y60" s="200"/>
      <c r="Z60" s="201"/>
      <c r="AA60" s="182"/>
      <c r="AB60" s="227"/>
      <c r="AC60" s="277"/>
      <c r="AD60" s="108"/>
      <c r="AE60" s="108">
        <f t="shared" si="12"/>
        <v>0</v>
      </c>
      <c r="AF60" s="182"/>
      <c r="AG60" s="182"/>
      <c r="AH60" s="202"/>
      <c r="AI60" s="203"/>
      <c r="AJ60" s="108">
        <f t="shared" si="11"/>
        <v>0</v>
      </c>
      <c r="AK60" s="163"/>
      <c r="AL60" s="258">
        <f t="shared" si="9"/>
        <v>0</v>
      </c>
      <c r="AM60" s="221">
        <v>28</v>
      </c>
      <c r="AN60" s="16"/>
      <c r="AR60" s="12"/>
      <c r="AS60" s="2"/>
      <c r="AT60" s="2"/>
      <c r="AU60" s="2"/>
      <c r="AV60" s="12"/>
      <c r="AY60" s="2"/>
      <c r="AZ60" s="2"/>
      <c r="BA60" s="2"/>
      <c r="BB60" s="2"/>
    </row>
    <row r="61" spans="1:54" ht="18.75" x14ac:dyDescent="0.3">
      <c r="A61" s="280"/>
      <c r="B61" s="135"/>
      <c r="C61" s="135"/>
      <c r="D61" s="135"/>
      <c r="E61" s="135"/>
      <c r="F61" s="135"/>
      <c r="G61" s="135"/>
      <c r="H61" s="135"/>
      <c r="I61" s="135"/>
      <c r="J61" s="135"/>
      <c r="K61" s="135"/>
      <c r="L61" s="135"/>
      <c r="M61" s="135"/>
      <c r="N61" s="135"/>
      <c r="O61" s="135"/>
      <c r="P61" s="135"/>
      <c r="Q61" s="124"/>
      <c r="R61" s="135"/>
      <c r="S61" s="124"/>
      <c r="T61" s="124"/>
      <c r="U61" s="124"/>
      <c r="V61" s="124"/>
      <c r="W61" s="135"/>
      <c r="X61" s="182">
        <v>29</v>
      </c>
      <c r="Y61" s="223"/>
      <c r="Z61" s="224"/>
      <c r="AA61" s="208"/>
      <c r="AB61" s="208"/>
      <c r="AC61" s="277"/>
      <c r="AD61" s="210"/>
      <c r="AE61" s="108">
        <f t="shared" si="12"/>
        <v>0</v>
      </c>
      <c r="AF61" s="182"/>
      <c r="AG61" s="182"/>
      <c r="AH61" s="282"/>
      <c r="AI61" s="203"/>
      <c r="AJ61" s="108">
        <f t="shared" si="11"/>
        <v>0</v>
      </c>
      <c r="AK61" s="306"/>
      <c r="AL61" s="258">
        <f t="shared" si="9"/>
        <v>0</v>
      </c>
      <c r="AM61" s="221">
        <v>29</v>
      </c>
      <c r="AN61" s="16"/>
      <c r="AR61" s="12"/>
      <c r="AS61" s="2"/>
      <c r="AT61" s="2"/>
      <c r="AU61" s="2"/>
      <c r="AV61" s="12"/>
    </row>
    <row r="62" spans="1:54" ht="18.75" x14ac:dyDescent="0.3">
      <c r="A62" s="280"/>
      <c r="B62" s="135"/>
      <c r="C62" s="135"/>
      <c r="D62" s="135"/>
      <c r="E62" s="135"/>
      <c r="F62" s="135"/>
      <c r="G62" s="135"/>
      <c r="H62" s="135"/>
      <c r="I62" s="135"/>
      <c r="J62" s="135"/>
      <c r="K62" s="135"/>
      <c r="L62" s="135"/>
      <c r="M62" s="135"/>
      <c r="N62" s="135"/>
      <c r="O62" s="135"/>
      <c r="P62" s="135"/>
      <c r="Q62" s="124"/>
      <c r="R62" s="135"/>
      <c r="S62" s="124"/>
      <c r="T62" s="124"/>
      <c r="U62" s="124"/>
      <c r="V62" s="124"/>
      <c r="W62" s="135"/>
      <c r="X62" s="182">
        <v>30</v>
      </c>
      <c r="Y62" s="223"/>
      <c r="Z62" s="224"/>
      <c r="AA62" s="208"/>
      <c r="AB62" s="208"/>
      <c r="AC62" s="277"/>
      <c r="AD62" s="108"/>
      <c r="AE62" s="108">
        <f t="shared" si="12"/>
        <v>0</v>
      </c>
      <c r="AF62" s="182"/>
      <c r="AG62" s="283"/>
      <c r="AH62" s="284"/>
      <c r="AI62" s="285"/>
      <c r="AJ62" s="286">
        <f t="shared" si="11"/>
        <v>0</v>
      </c>
      <c r="AK62" s="301"/>
      <c r="AL62" s="307">
        <f t="shared" si="9"/>
        <v>0</v>
      </c>
      <c r="AM62" s="221">
        <v>30</v>
      </c>
      <c r="AN62" s="16"/>
      <c r="AR62" s="2"/>
      <c r="AS62" s="2"/>
      <c r="AT62" s="2"/>
      <c r="AU62" s="2"/>
      <c r="AV62" s="12"/>
    </row>
    <row r="63" spans="1:54" ht="18.75" x14ac:dyDescent="0.3">
      <c r="A63" s="280"/>
      <c r="B63" s="135"/>
      <c r="C63" s="135"/>
      <c r="D63" s="135"/>
      <c r="E63" s="135"/>
      <c r="F63" s="135"/>
      <c r="G63" s="135"/>
      <c r="H63" s="135"/>
      <c r="I63" s="135"/>
      <c r="J63" s="135"/>
      <c r="K63" s="135"/>
      <c r="L63" s="135"/>
      <c r="M63" s="135"/>
      <c r="N63" s="135"/>
      <c r="O63" s="135"/>
      <c r="P63" s="135"/>
      <c r="Q63" s="124"/>
      <c r="R63" s="135"/>
      <c r="S63" s="124"/>
      <c r="T63" s="124"/>
      <c r="U63" s="124"/>
      <c r="V63" s="124"/>
      <c r="W63" s="135"/>
      <c r="X63" s="24"/>
      <c r="Y63" s="160"/>
      <c r="Z63" s="161"/>
      <c r="AA63" s="24"/>
      <c r="AB63" s="24"/>
      <c r="AC63" s="277">
        <f>SUM(AC33:AC62)</f>
        <v>0</v>
      </c>
      <c r="AD63" s="287"/>
      <c r="AE63" s="163"/>
      <c r="AF63" s="24"/>
      <c r="AG63" s="288"/>
      <c r="AH63" s="289" t="s">
        <v>75</v>
      </c>
      <c r="AI63" s="290"/>
      <c r="AJ63" s="291">
        <f>SUM(AJ3:AJ62)</f>
        <v>0</v>
      </c>
      <c r="AK63" s="163"/>
      <c r="AL63" s="258">
        <f t="shared" si="9"/>
        <v>0</v>
      </c>
      <c r="AM63" s="38"/>
      <c r="AN63" s="16"/>
      <c r="AR63" s="2"/>
      <c r="AS63" s="2"/>
      <c r="AT63" s="2"/>
      <c r="AU63" s="2"/>
      <c r="AV63" s="12"/>
    </row>
    <row r="64" spans="1:54" ht="18.75" x14ac:dyDescent="0.3">
      <c r="A64" s="280"/>
      <c r="B64" s="135"/>
      <c r="C64" s="135"/>
      <c r="D64" s="135"/>
      <c r="E64" s="135"/>
      <c r="F64" s="135"/>
      <c r="G64" s="135"/>
      <c r="H64" s="135"/>
      <c r="I64" s="135"/>
      <c r="J64" s="135"/>
      <c r="K64" s="135"/>
      <c r="L64" s="135"/>
      <c r="M64" s="135"/>
      <c r="N64" s="135"/>
      <c r="O64" s="135"/>
      <c r="P64" s="135"/>
      <c r="Q64" s="124"/>
      <c r="R64" s="135"/>
      <c r="S64" s="124"/>
      <c r="T64" s="124"/>
      <c r="U64" s="124"/>
      <c r="V64" s="124"/>
      <c r="W64" s="135"/>
      <c r="X64" s="24"/>
      <c r="Y64" s="292"/>
      <c r="Z64" s="293"/>
      <c r="AA64" s="32"/>
      <c r="AB64" s="294"/>
      <c r="AC64" s="295" t="s">
        <v>16</v>
      </c>
      <c r="AD64" s="296">
        <f>SUM(AD33:AD63)</f>
        <v>0</v>
      </c>
      <c r="AE64" s="163"/>
      <c r="AF64" s="24"/>
      <c r="AG64" s="24"/>
      <c r="AH64" s="297"/>
      <c r="AI64" s="165"/>
      <c r="AJ64" s="163"/>
      <c r="AK64" s="163"/>
      <c r="AL64" s="124"/>
      <c r="AM64" s="124"/>
      <c r="AN64" s="36"/>
      <c r="AR64" s="2"/>
      <c r="AS64" s="2"/>
      <c r="AT64" s="2"/>
      <c r="AU64" s="2"/>
      <c r="AV64" s="12"/>
    </row>
    <row r="65" spans="1:55" ht="18.75" x14ac:dyDescent="0.3">
      <c r="A65" s="280"/>
      <c r="B65" s="135"/>
      <c r="C65" s="135"/>
      <c r="D65" s="135"/>
      <c r="E65" s="135"/>
      <c r="F65" s="135"/>
      <c r="G65" s="135"/>
      <c r="H65" s="135"/>
      <c r="I65" s="135"/>
      <c r="J65" s="135"/>
      <c r="K65" s="135"/>
      <c r="L65" s="135"/>
      <c r="M65" s="135"/>
      <c r="N65" s="135"/>
      <c r="O65" s="135"/>
      <c r="P65" s="135"/>
      <c r="Q65" s="124"/>
      <c r="R65" s="135"/>
      <c r="S65" s="124"/>
      <c r="T65" s="124"/>
      <c r="U65" s="124"/>
      <c r="V65" s="124"/>
      <c r="W65" s="135"/>
      <c r="X65" s="24"/>
      <c r="Y65" s="160"/>
      <c r="Z65" s="161"/>
      <c r="AA65" s="24"/>
      <c r="AB65" s="24"/>
      <c r="AC65" s="163"/>
      <c r="AD65" s="163"/>
      <c r="AE65" s="163"/>
      <c r="AF65" s="24"/>
      <c r="AG65" s="24"/>
      <c r="AH65" s="297"/>
      <c r="AI65" s="165"/>
      <c r="AJ65" s="163"/>
      <c r="AK65" s="163"/>
      <c r="AL65" s="24"/>
      <c r="AM65" s="308"/>
      <c r="AN65" s="16"/>
      <c r="AR65" s="2"/>
      <c r="AS65" s="2"/>
      <c r="AT65" s="2"/>
      <c r="AU65" s="2"/>
      <c r="AV65" s="2"/>
    </row>
    <row r="66" spans="1:55" ht="18.75" x14ac:dyDescent="0.3">
      <c r="A66" s="280"/>
      <c r="B66" s="135"/>
      <c r="C66" s="135"/>
      <c r="D66" s="135"/>
      <c r="E66" s="135"/>
      <c r="F66" s="135"/>
      <c r="G66" s="135"/>
      <c r="H66" s="135"/>
      <c r="I66" s="135"/>
      <c r="J66" s="135"/>
      <c r="K66" s="135"/>
      <c r="L66" s="135"/>
      <c r="M66" s="135"/>
      <c r="N66" s="135"/>
      <c r="O66" s="135"/>
      <c r="P66" s="135"/>
      <c r="Q66" s="124"/>
      <c r="R66" s="135"/>
      <c r="S66" s="124"/>
      <c r="T66" s="124"/>
      <c r="U66" s="124"/>
      <c r="V66" s="124"/>
      <c r="W66" s="135"/>
      <c r="X66" s="24"/>
      <c r="Y66" s="160"/>
      <c r="Z66" s="161"/>
      <c r="AA66" s="24"/>
      <c r="AB66" s="24"/>
      <c r="AC66" s="163"/>
      <c r="AD66" s="163"/>
      <c r="AE66" s="163"/>
      <c r="AF66" s="24"/>
      <c r="AG66" s="24"/>
      <c r="AH66" s="297"/>
      <c r="AI66" s="202" t="s">
        <v>76</v>
      </c>
      <c r="AJ66" s="163"/>
      <c r="AK66" s="163"/>
      <c r="AL66" s="24"/>
      <c r="AM66" s="308"/>
      <c r="AN66" s="16"/>
      <c r="AR66" s="2"/>
      <c r="AS66" s="2"/>
      <c r="AT66" s="2"/>
      <c r="AU66" s="2"/>
      <c r="AV66" s="2"/>
    </row>
    <row r="67" spans="1:55" ht="18.75" x14ac:dyDescent="0.3">
      <c r="A67" s="280"/>
      <c r="B67" s="135"/>
      <c r="C67" s="135"/>
      <c r="D67" s="135"/>
      <c r="E67" s="135"/>
      <c r="F67" s="135"/>
      <c r="G67" s="135"/>
      <c r="H67" s="135"/>
      <c r="I67" s="135"/>
      <c r="J67" s="135"/>
      <c r="K67" s="135"/>
      <c r="L67" s="135"/>
      <c r="M67" s="135"/>
      <c r="N67" s="135"/>
      <c r="O67" s="135"/>
      <c r="P67" s="135"/>
      <c r="Q67" s="124"/>
      <c r="R67" s="135"/>
      <c r="S67" s="124"/>
      <c r="T67" s="124"/>
      <c r="U67" s="124"/>
      <c r="V67" s="124"/>
      <c r="W67" s="135"/>
      <c r="X67" s="24"/>
      <c r="Y67" s="160"/>
      <c r="Z67" s="161"/>
      <c r="AA67" s="24"/>
      <c r="AB67" s="24"/>
      <c r="AC67" s="231" t="s">
        <v>16</v>
      </c>
      <c r="AD67" s="231">
        <f>AD30</f>
        <v>0</v>
      </c>
      <c r="AE67" s="163"/>
      <c r="AF67" s="24"/>
      <c r="AG67" s="24"/>
      <c r="AH67" s="297"/>
      <c r="AI67" s="233"/>
      <c r="AJ67" s="291">
        <f>AJ63</f>
        <v>0</v>
      </c>
      <c r="AK67" s="163"/>
      <c r="AL67" s="24"/>
      <c r="AM67" s="308"/>
      <c r="AN67" s="16"/>
      <c r="AR67" s="2"/>
      <c r="AS67" s="2"/>
      <c r="AT67" s="2"/>
      <c r="AU67" s="2"/>
      <c r="AV67" s="2"/>
    </row>
    <row r="68" spans="1:55" ht="18.75" x14ac:dyDescent="0.3">
      <c r="A68" s="280"/>
      <c r="B68" s="135"/>
      <c r="C68" s="135"/>
      <c r="D68" s="135"/>
      <c r="E68" s="135"/>
      <c r="F68" s="135"/>
      <c r="G68" s="135"/>
      <c r="H68" s="135"/>
      <c r="I68" s="135"/>
      <c r="J68" s="135"/>
      <c r="K68" s="135"/>
      <c r="L68" s="135"/>
      <c r="M68" s="135"/>
      <c r="N68" s="135"/>
      <c r="O68" s="135"/>
      <c r="P68" s="135"/>
      <c r="Q68" s="124"/>
      <c r="R68" s="135"/>
      <c r="S68" s="124"/>
      <c r="T68" s="124"/>
      <c r="U68" s="124"/>
      <c r="V68" s="124"/>
      <c r="W68" s="135"/>
      <c r="X68" s="24"/>
      <c r="Y68" s="160"/>
      <c r="Z68" s="161"/>
      <c r="AA68" s="24"/>
      <c r="AB68" s="24"/>
      <c r="AC68" s="295" t="s">
        <v>16</v>
      </c>
      <c r="AD68" s="296">
        <f>AD64</f>
        <v>0</v>
      </c>
      <c r="AE68" s="163"/>
      <c r="AF68" s="24"/>
      <c r="AG68" s="24"/>
      <c r="AH68" s="297"/>
      <c r="AI68" s="298" t="s">
        <v>32</v>
      </c>
      <c r="AJ68" s="295">
        <f>'JANV 2026'!AJ69</f>
        <v>0</v>
      </c>
      <c r="AK68" s="163"/>
      <c r="AL68" s="24"/>
      <c r="AM68" s="308"/>
      <c r="AN68" s="16"/>
      <c r="AR68" s="2"/>
      <c r="AS68" s="2"/>
      <c r="AT68" s="2"/>
      <c r="AU68" s="2"/>
      <c r="AV68" s="2"/>
      <c r="BC68" s="20"/>
    </row>
    <row r="69" spans="1:55" ht="18.75" x14ac:dyDescent="0.3">
      <c r="A69" s="280"/>
      <c r="B69" s="135"/>
      <c r="C69" s="135"/>
      <c r="D69" s="135"/>
      <c r="E69" s="135"/>
      <c r="F69" s="135"/>
      <c r="G69" s="135"/>
      <c r="H69" s="135"/>
      <c r="I69" s="135"/>
      <c r="J69" s="135"/>
      <c r="K69" s="135"/>
      <c r="L69" s="135"/>
      <c r="M69" s="135"/>
      <c r="N69" s="135"/>
      <c r="O69" s="135"/>
      <c r="P69" s="135"/>
      <c r="Q69" s="124"/>
      <c r="R69" s="135"/>
      <c r="S69" s="124"/>
      <c r="T69" s="124"/>
      <c r="U69" s="124"/>
      <c r="V69" s="124"/>
      <c r="W69" s="135"/>
      <c r="X69" s="24"/>
      <c r="Y69" s="160"/>
      <c r="Z69" s="161"/>
      <c r="AA69" s="24"/>
      <c r="AB69" s="24"/>
      <c r="AC69" s="299" t="s">
        <v>74</v>
      </c>
      <c r="AD69" s="299">
        <f>SUM(AD67:AD68)</f>
        <v>0</v>
      </c>
      <c r="AE69" s="163"/>
      <c r="AF69" s="24"/>
      <c r="AG69" s="24"/>
      <c r="AH69" s="297"/>
      <c r="AI69" s="298" t="s">
        <v>33</v>
      </c>
      <c r="AJ69" s="300">
        <f>SUM(AJ67:AJ68)</f>
        <v>0</v>
      </c>
      <c r="AK69" s="163"/>
      <c r="AL69" s="24"/>
      <c r="AM69" s="308"/>
      <c r="AN69" s="16"/>
      <c r="AR69" s="2"/>
      <c r="AS69" s="2"/>
      <c r="AT69" s="2"/>
      <c r="AU69" s="2"/>
      <c r="AV69" s="2"/>
      <c r="BC69" s="20"/>
    </row>
    <row r="70" spans="1:55" ht="18.75" x14ac:dyDescent="0.3">
      <c r="A70" s="1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X70" s="16"/>
      <c r="Y70" s="41"/>
      <c r="Z70" s="42"/>
      <c r="AA70" s="20"/>
      <c r="AB70" s="44"/>
      <c r="AC70" s="19"/>
      <c r="AD70" s="19"/>
      <c r="AE70" s="19"/>
      <c r="AF70" s="20"/>
      <c r="AG70" s="20"/>
      <c r="AH70" s="43"/>
      <c r="AI70" s="21"/>
      <c r="AJ70" s="22"/>
      <c r="AK70" s="17"/>
      <c r="AL70" s="16"/>
      <c r="AM70" s="39"/>
      <c r="AN70" s="22"/>
      <c r="AR70" s="2"/>
      <c r="AS70" s="2"/>
      <c r="AT70" s="2"/>
      <c r="AU70" s="2"/>
      <c r="AV70" s="2"/>
    </row>
    <row r="71" spans="1:55" ht="18.75" x14ac:dyDescent="0.3">
      <c r="A71" s="1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X71" s="16"/>
      <c r="Y71" s="45"/>
      <c r="Z71" s="46"/>
      <c r="AA71" s="47"/>
      <c r="AB71" s="47"/>
      <c r="AC71" s="48"/>
      <c r="AD71" s="48"/>
      <c r="AE71" s="19"/>
      <c r="AF71" s="20"/>
      <c r="AG71" s="20"/>
      <c r="AH71" s="43"/>
      <c r="AK71" s="17"/>
      <c r="AL71" s="16"/>
      <c r="AM71" s="39"/>
      <c r="AN71" s="22"/>
      <c r="BA71" s="7"/>
    </row>
    <row r="72" spans="1:55" ht="18.75" x14ac:dyDescent="0.3">
      <c r="A72" s="1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X72" s="16"/>
      <c r="Y72" s="45"/>
      <c r="Z72" s="46"/>
      <c r="AA72" s="47"/>
      <c r="AB72" s="47"/>
      <c r="AC72" s="19"/>
      <c r="AD72" s="19"/>
      <c r="AE72" s="19"/>
      <c r="AF72" s="20"/>
      <c r="AG72" s="20"/>
      <c r="AH72" s="43"/>
      <c r="AK72" s="17"/>
      <c r="AL72" s="16"/>
      <c r="AM72" s="39"/>
      <c r="AN72" s="22"/>
      <c r="AY72" s="7"/>
      <c r="BA72" s="7"/>
    </row>
    <row r="73" spans="1:55" ht="18.75" x14ac:dyDescent="0.3">
      <c r="A73" s="1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X73" s="16"/>
      <c r="Y73" s="41"/>
      <c r="Z73" s="42"/>
      <c r="AA73" s="20"/>
      <c r="AB73" s="20"/>
      <c r="AC73" s="19"/>
      <c r="AD73" s="19"/>
      <c r="AE73" s="19"/>
      <c r="AF73" s="20"/>
      <c r="AG73" s="20"/>
      <c r="AH73" s="49"/>
      <c r="AK73" s="17"/>
      <c r="AL73" s="16"/>
      <c r="AM73" s="40" t="s">
        <v>34</v>
      </c>
      <c r="AN73" s="16"/>
      <c r="AY73" s="7"/>
      <c r="BA73" s="7"/>
    </row>
    <row r="74" spans="1:55" x14ac:dyDescent="0.2">
      <c r="A74" s="1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AY74" s="2"/>
    </row>
    <row r="75" spans="1:55" x14ac:dyDescent="0.2">
      <c r="A75" s="1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AR75" s="2"/>
      <c r="AS75" s="2"/>
      <c r="AT75" s="2"/>
      <c r="AU75" s="2"/>
      <c r="AV75" s="2"/>
      <c r="AY75" s="2"/>
      <c r="AZ75" s="2"/>
      <c r="BA75" s="2"/>
      <c r="BB75" s="2"/>
    </row>
    <row r="76" spans="1:55" x14ac:dyDescent="0.2">
      <c r="A76" s="1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AR76" s="92"/>
      <c r="AS76" s="11"/>
      <c r="AT76" s="11"/>
      <c r="AU76" s="11"/>
      <c r="AV76" s="2"/>
      <c r="AY76" s="2"/>
      <c r="AZ76" s="2"/>
      <c r="BA76" s="12"/>
      <c r="BB76" s="2"/>
    </row>
    <row r="77" spans="1:55" x14ac:dyDescent="0.2">
      <c r="A77" s="12"/>
      <c r="B77" s="2"/>
      <c r="L77" s="2"/>
      <c r="M77" s="2"/>
      <c r="N77" s="2"/>
      <c r="O77" s="2"/>
      <c r="AR77" s="92"/>
      <c r="AS77" s="11"/>
      <c r="AT77" s="11"/>
      <c r="AU77" s="11"/>
      <c r="AV77" s="2"/>
      <c r="AY77" s="12"/>
      <c r="AZ77" s="2"/>
      <c r="BA77" s="12"/>
      <c r="BB77" s="2"/>
    </row>
    <row r="78" spans="1:55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AR78" s="92"/>
      <c r="AS78" s="11"/>
      <c r="AT78" s="11"/>
      <c r="AU78" s="11"/>
      <c r="AV78" s="2"/>
      <c r="AY78" s="12"/>
      <c r="AZ78" s="2"/>
      <c r="BA78" s="12"/>
      <c r="BB78" s="2"/>
    </row>
    <row r="79" spans="1:55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AR79" s="92"/>
      <c r="AS79" s="2"/>
      <c r="AT79" s="2"/>
      <c r="AU79" s="2"/>
      <c r="AV79" s="2"/>
      <c r="AY79" s="2"/>
      <c r="AZ79" s="2"/>
      <c r="BA79" s="12"/>
      <c r="BB79" s="2"/>
    </row>
    <row r="80" spans="1:55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AR80" s="2"/>
      <c r="AS80" s="11"/>
      <c r="AT80" s="11"/>
      <c r="AU80" s="11"/>
      <c r="AV80" s="2"/>
      <c r="AY80" s="2"/>
      <c r="AZ80" s="2"/>
      <c r="BA80" s="2"/>
      <c r="BB80" s="2"/>
    </row>
    <row r="81" spans="1:54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AR81" s="92"/>
      <c r="AS81" s="2"/>
      <c r="AT81" s="2"/>
      <c r="AU81" s="2"/>
      <c r="AV81" s="2"/>
      <c r="AY81" s="2"/>
      <c r="AZ81" s="2"/>
      <c r="BA81" s="2"/>
      <c r="BB81" s="2"/>
    </row>
    <row r="82" spans="1:54" x14ac:dyDescent="0.2">
      <c r="A82" s="2"/>
      <c r="B82" s="2"/>
      <c r="C82" s="2"/>
      <c r="D82" s="2"/>
      <c r="E82" s="2"/>
      <c r="F82" s="2"/>
      <c r="G82" s="2"/>
      <c r="H82" s="2"/>
      <c r="I82" s="2"/>
      <c r="J82" s="13"/>
      <c r="K82" s="2"/>
      <c r="L82" s="2"/>
      <c r="M82" s="2"/>
      <c r="N82" s="2"/>
      <c r="O82" s="2"/>
      <c r="P82" s="2"/>
      <c r="AR82" s="2"/>
      <c r="AS82" s="2"/>
      <c r="AT82" s="2"/>
      <c r="AU82" s="2"/>
      <c r="AV82" s="2"/>
      <c r="AY82" s="2"/>
      <c r="AZ82" s="2"/>
      <c r="BA82" s="2"/>
      <c r="BB82" s="2"/>
    </row>
    <row r="83" spans="1:54" x14ac:dyDescent="0.2">
      <c r="J83" s="13"/>
      <c r="K83" s="2"/>
      <c r="AR83" s="2"/>
      <c r="AS83" s="2"/>
      <c r="AT83" s="2"/>
      <c r="AU83" s="2"/>
      <c r="AV83" s="12"/>
      <c r="AY83" s="2"/>
      <c r="AZ83" s="2"/>
      <c r="BA83" s="2"/>
      <c r="BB83" s="2"/>
    </row>
    <row r="84" spans="1:54" x14ac:dyDescent="0.2">
      <c r="AR84" s="12"/>
      <c r="AS84" s="2"/>
      <c r="AT84" s="2"/>
      <c r="AU84" s="2"/>
      <c r="AV84" s="12"/>
      <c r="AY84" s="2"/>
      <c r="AZ84" s="2"/>
      <c r="BA84" s="2"/>
      <c r="BB84" s="2"/>
    </row>
    <row r="85" spans="1:54" x14ac:dyDescent="0.2">
      <c r="A85" s="2"/>
      <c r="B85" s="2"/>
      <c r="AR85" s="12"/>
      <c r="AS85" s="2"/>
      <c r="AT85" s="2"/>
      <c r="AU85" s="2"/>
      <c r="AV85" s="12"/>
    </row>
    <row r="86" spans="1:54" x14ac:dyDescent="0.2">
      <c r="A86" s="2"/>
      <c r="B86" s="2"/>
      <c r="C86" s="2"/>
      <c r="D86" s="2"/>
      <c r="E86" s="2"/>
      <c r="F86" s="6"/>
      <c r="I86" s="6"/>
      <c r="AR86" s="2"/>
      <c r="AS86" s="2"/>
      <c r="AT86" s="2"/>
      <c r="AU86" s="2"/>
      <c r="AV86" s="12"/>
    </row>
    <row r="87" spans="1:54" x14ac:dyDescent="0.2">
      <c r="C87" s="5"/>
      <c r="F87" s="6"/>
      <c r="AR87" s="2"/>
      <c r="AS87" s="2"/>
      <c r="AT87" s="2"/>
      <c r="AU87" s="2"/>
      <c r="AV87" s="12"/>
    </row>
    <row r="88" spans="1:54" x14ac:dyDescent="0.2">
      <c r="C88" s="5"/>
      <c r="AR88" s="2"/>
      <c r="AS88" s="2"/>
      <c r="AT88" s="2"/>
      <c r="AU88" s="2"/>
      <c r="AV88" s="12"/>
    </row>
    <row r="89" spans="1:54" x14ac:dyDescent="0.2">
      <c r="C89" s="5"/>
      <c r="AR89" s="2"/>
      <c r="AS89" s="2"/>
      <c r="AT89" s="2"/>
      <c r="AU89" s="2"/>
      <c r="AV89" s="2"/>
    </row>
    <row r="90" spans="1:54" x14ac:dyDescent="0.2">
      <c r="C90" s="5"/>
      <c r="AR90" s="2"/>
      <c r="AS90" s="2"/>
      <c r="AT90" s="2"/>
      <c r="AU90" s="2"/>
      <c r="AV90" s="2"/>
    </row>
    <row r="91" spans="1:54" x14ac:dyDescent="0.2">
      <c r="C91" s="5"/>
      <c r="AR91" s="2"/>
      <c r="AS91" s="2"/>
      <c r="AT91" s="2"/>
      <c r="AU91" s="2"/>
      <c r="AV91" s="2"/>
    </row>
    <row r="92" spans="1:54" x14ac:dyDescent="0.2">
      <c r="C92" s="5"/>
      <c r="AR92" s="2"/>
      <c r="AS92" s="2"/>
      <c r="AT92" s="2"/>
      <c r="AU92" s="2"/>
      <c r="AV92" s="2"/>
    </row>
    <row r="93" spans="1:54" x14ac:dyDescent="0.2">
      <c r="C93" s="5"/>
      <c r="AR93" s="2"/>
      <c r="AS93" s="2"/>
      <c r="AT93" s="2"/>
      <c r="AU93" s="2"/>
      <c r="AV93" s="2"/>
    </row>
    <row r="94" spans="1:54" x14ac:dyDescent="0.2">
      <c r="C94" s="5"/>
      <c r="AR94" s="2"/>
      <c r="AS94" s="11"/>
      <c r="AT94" s="11"/>
      <c r="AU94" s="11"/>
      <c r="AV94" s="2"/>
    </row>
    <row r="95" spans="1:54" x14ac:dyDescent="0.2">
      <c r="C95" s="5"/>
    </row>
    <row r="96" spans="1:54" x14ac:dyDescent="0.2">
      <c r="C96" s="5"/>
    </row>
    <row r="97" spans="3:3" x14ac:dyDescent="0.2">
      <c r="C97" s="5"/>
    </row>
    <row r="98" spans="3:3" x14ac:dyDescent="0.2">
      <c r="C98" s="5"/>
    </row>
    <row r="99" spans="3:3" x14ac:dyDescent="0.2">
      <c r="C99" s="5"/>
    </row>
    <row r="100" spans="3:3" x14ac:dyDescent="0.2">
      <c r="C100" s="5"/>
    </row>
    <row r="101" spans="3:3" x14ac:dyDescent="0.2">
      <c r="C101" s="5"/>
    </row>
    <row r="102" spans="3:3" x14ac:dyDescent="0.2">
      <c r="C102" s="5"/>
    </row>
    <row r="103" spans="3:3" x14ac:dyDescent="0.2">
      <c r="C103" s="5"/>
    </row>
    <row r="104" spans="3:3" x14ac:dyDescent="0.2">
      <c r="C104" s="5"/>
    </row>
    <row r="105" spans="3:3" x14ac:dyDescent="0.2">
      <c r="C105" s="5"/>
    </row>
    <row r="106" spans="3:3" x14ac:dyDescent="0.2">
      <c r="C106" s="5"/>
    </row>
    <row r="107" spans="3:3" x14ac:dyDescent="0.2">
      <c r="C107" s="5"/>
    </row>
    <row r="108" spans="3:3" x14ac:dyDescent="0.2">
      <c r="C108" s="5"/>
    </row>
    <row r="109" spans="3:3" x14ac:dyDescent="0.2">
      <c r="C109" s="5"/>
    </row>
    <row r="110" spans="3:3" x14ac:dyDescent="0.2">
      <c r="C110" s="5"/>
    </row>
    <row r="111" spans="3:3" x14ac:dyDescent="0.2">
      <c r="C111" s="5"/>
    </row>
    <row r="112" spans="3:3" x14ac:dyDescent="0.2">
      <c r="C112" s="5"/>
    </row>
    <row r="113" spans="3:3" x14ac:dyDescent="0.2">
      <c r="C113" s="5"/>
    </row>
    <row r="114" spans="3:3" x14ac:dyDescent="0.2">
      <c r="C114" s="5"/>
    </row>
    <row r="115" spans="3:3" x14ac:dyDescent="0.2">
      <c r="C115" s="5"/>
    </row>
    <row r="116" spans="3:3" x14ac:dyDescent="0.2">
      <c r="C116" s="5"/>
    </row>
    <row r="117" spans="3:3" x14ac:dyDescent="0.2">
      <c r="C117" s="5"/>
    </row>
  </sheetData>
  <pageMargins left="0.25" right="0.25" top="0.75" bottom="0.75" header="0.3" footer="0.3"/>
  <pageSetup paperSize="9" scale="83" fitToHeight="0" orientation="landscape" horizontalDpi="4294967292" verticalDpi="4294967292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published="0">
    <pageSetUpPr fitToPage="1"/>
  </sheetPr>
  <dimension ref="A1:BE117"/>
  <sheetViews>
    <sheetView topLeftCell="A10" zoomScale="55" zoomScaleNormal="55" zoomScalePageLayoutView="85" workbookViewId="0">
      <selection activeCell="N40" sqref="N40:O45"/>
    </sheetView>
  </sheetViews>
  <sheetFormatPr baseColWidth="10" defaultColWidth="11" defaultRowHeight="12.75" x14ac:dyDescent="0.2"/>
  <cols>
    <col min="1" max="1" width="10.5" bestFit="1" customWidth="1"/>
    <col min="2" max="2" width="9.25" bestFit="1" customWidth="1"/>
    <col min="3" max="3" width="9" customWidth="1"/>
    <col min="4" max="4" width="8.25" customWidth="1"/>
    <col min="5" max="5" width="9.375" customWidth="1"/>
    <col min="6" max="6" width="9.25" customWidth="1"/>
    <col min="7" max="7" width="10" customWidth="1"/>
    <col min="8" max="8" width="9.375" customWidth="1"/>
    <col min="9" max="9" width="6.375" customWidth="1"/>
    <col min="10" max="10" width="8.375" customWidth="1"/>
    <col min="11" max="11" width="8.625" customWidth="1"/>
    <col min="12" max="12" width="7" customWidth="1"/>
    <col min="13" max="13" width="8.875" customWidth="1"/>
    <col min="14" max="14" width="11.75" bestFit="1" customWidth="1"/>
    <col min="15" max="15" width="8.75" customWidth="1"/>
    <col min="16" max="16" width="17.25" bestFit="1" customWidth="1"/>
    <col min="17" max="17" width="39.125" customWidth="1"/>
    <col min="18" max="18" width="11" style="2"/>
    <col min="19" max="19" width="8" customWidth="1"/>
    <col min="20" max="20" width="12.375" customWidth="1"/>
    <col min="21" max="21" width="2.625" customWidth="1"/>
    <col min="22" max="22" width="33.75" customWidth="1"/>
    <col min="23" max="23" width="9.375" style="2" customWidth="1"/>
    <col min="24" max="24" width="9.25" customWidth="1"/>
    <col min="25" max="25" width="15" bestFit="1" customWidth="1"/>
    <col min="26" max="26" width="10.375" customWidth="1"/>
    <col min="27" max="27" width="14.5" bestFit="1" customWidth="1"/>
    <col min="28" max="28" width="11.375" customWidth="1"/>
    <col min="29" max="29" width="11.25" bestFit="1" customWidth="1"/>
    <col min="30" max="30" width="8.75" customWidth="1"/>
    <col min="31" max="31" width="12.875" customWidth="1"/>
    <col min="32" max="32" width="13.875" bestFit="1" customWidth="1"/>
    <col min="33" max="33" width="12.375" customWidth="1"/>
    <col min="34" max="34" width="9.25" customWidth="1"/>
    <col min="35" max="35" width="16.75" bestFit="1" customWidth="1"/>
    <col min="36" max="36" width="9.5" bestFit="1" customWidth="1"/>
    <col min="37" max="37" width="9.875" customWidth="1"/>
    <col min="38" max="38" width="10.75" customWidth="1"/>
  </cols>
  <sheetData>
    <row r="1" spans="1:57" ht="19.5" thickBot="1" x14ac:dyDescent="0.35">
      <c r="A1" s="123">
        <v>44561</v>
      </c>
      <c r="B1" s="124"/>
      <c r="C1" s="125" t="s">
        <v>22</v>
      </c>
      <c r="D1" s="125"/>
      <c r="E1" s="125"/>
      <c r="F1" s="126"/>
      <c r="G1" s="127" t="s">
        <v>23</v>
      </c>
      <c r="H1" s="127"/>
      <c r="I1" s="127"/>
      <c r="J1" s="127"/>
      <c r="K1" s="127"/>
      <c r="L1" s="128"/>
      <c r="M1" s="129" t="s">
        <v>6</v>
      </c>
      <c r="N1" s="129"/>
      <c r="O1" s="129"/>
      <c r="P1" s="130" t="s">
        <v>19</v>
      </c>
      <c r="Q1" s="131" t="s">
        <v>11</v>
      </c>
      <c r="R1" s="132" t="s">
        <v>12</v>
      </c>
      <c r="S1" s="133" t="s">
        <v>0</v>
      </c>
      <c r="T1" s="134" t="s">
        <v>13</v>
      </c>
      <c r="U1" s="124"/>
      <c r="V1" s="124"/>
      <c r="W1" s="135"/>
      <c r="X1" s="24"/>
      <c r="Y1" s="136" t="s">
        <v>25</v>
      </c>
      <c r="Z1" s="137" t="s">
        <v>5</v>
      </c>
      <c r="AA1" s="138" t="s">
        <v>26</v>
      </c>
      <c r="AB1" s="138" t="s">
        <v>27</v>
      </c>
      <c r="AC1" s="139" t="s">
        <v>15</v>
      </c>
      <c r="AD1" s="139" t="s">
        <v>16</v>
      </c>
      <c r="AE1" s="139" t="s">
        <v>12</v>
      </c>
      <c r="AF1" s="138" t="s">
        <v>28</v>
      </c>
      <c r="AG1" s="138" t="s">
        <v>29</v>
      </c>
      <c r="AH1" s="140" t="s">
        <v>5</v>
      </c>
      <c r="AI1" s="141" t="s">
        <v>30</v>
      </c>
      <c r="AJ1" s="24"/>
      <c r="AK1" s="301"/>
      <c r="AL1" s="24"/>
      <c r="AM1" s="302"/>
      <c r="AN1" s="16"/>
    </row>
    <row r="2" spans="1:57" s="2" customFormat="1" ht="19.5" thickBot="1" x14ac:dyDescent="0.35">
      <c r="A2" s="142" t="s">
        <v>5</v>
      </c>
      <c r="B2" s="143" t="s">
        <v>20</v>
      </c>
      <c r="C2" s="144">
        <v>6</v>
      </c>
      <c r="D2" s="145">
        <v>12</v>
      </c>
      <c r="E2" s="144">
        <v>21</v>
      </c>
      <c r="F2" s="146" t="s">
        <v>0</v>
      </c>
      <c r="G2" s="147" t="s">
        <v>24</v>
      </c>
      <c r="H2" s="148" t="s">
        <v>1</v>
      </c>
      <c r="I2" s="147" t="s">
        <v>21</v>
      </c>
      <c r="J2" s="147" t="s">
        <v>81</v>
      </c>
      <c r="K2" s="149" t="s">
        <v>2</v>
      </c>
      <c r="L2" s="150" t="s">
        <v>8</v>
      </c>
      <c r="M2" s="151" t="s">
        <v>7</v>
      </c>
      <c r="N2" s="152" t="s">
        <v>4</v>
      </c>
      <c r="O2" s="153" t="s">
        <v>3</v>
      </c>
      <c r="P2" s="154">
        <f>'FEVRIER 2026'!P33</f>
        <v>250</v>
      </c>
      <c r="Q2" s="155"/>
      <c r="R2" s="156"/>
      <c r="S2" s="157"/>
      <c r="T2" s="158"/>
      <c r="U2" s="135"/>
      <c r="V2" s="159"/>
      <c r="W2" s="135"/>
      <c r="X2" s="24"/>
      <c r="Y2" s="160"/>
      <c r="Z2" s="161"/>
      <c r="AA2" s="24"/>
      <c r="AB2" s="162">
        <v>46082</v>
      </c>
      <c r="AC2" s="163"/>
      <c r="AD2" s="163"/>
      <c r="AE2" s="163"/>
      <c r="AF2" s="24"/>
      <c r="AG2" s="24"/>
      <c r="AH2" s="164"/>
      <c r="AI2" s="165"/>
      <c r="AJ2" s="24"/>
      <c r="AK2" s="163"/>
      <c r="AL2" s="24"/>
      <c r="AM2" s="302"/>
      <c r="AN2" s="16"/>
      <c r="AO2"/>
      <c r="AP2"/>
      <c r="AQ2" s="100"/>
      <c r="AR2" s="100"/>
      <c r="AS2" s="100"/>
      <c r="AT2" s="100"/>
      <c r="AU2" s="100"/>
      <c r="AV2" s="100"/>
      <c r="AW2" s="100"/>
      <c r="AX2"/>
      <c r="AZ2"/>
      <c r="BA2"/>
      <c r="BB2"/>
      <c r="BC2" s="20"/>
      <c r="BE2"/>
    </row>
    <row r="3" spans="1:57" ht="16.5" thickBot="1" x14ac:dyDescent="0.3">
      <c r="A3" s="166">
        <v>44620</v>
      </c>
      <c r="B3" s="167"/>
      <c r="C3" s="168"/>
      <c r="D3" s="168"/>
      <c r="E3" s="169"/>
      <c r="F3" s="170">
        <f>SUM(B3:E3)</f>
        <v>0</v>
      </c>
      <c r="G3" s="171">
        <f>F3</f>
        <v>0</v>
      </c>
      <c r="H3" s="168"/>
      <c r="I3" s="168"/>
      <c r="J3" s="169"/>
      <c r="K3" s="172">
        <f t="shared" ref="K3:K33" si="0">SUM(F3-H3-J3-I3)</f>
        <v>0</v>
      </c>
      <c r="L3" s="173">
        <f t="shared" ref="L3:L33" si="1">SUM(F3-H3-J3-I3)</f>
        <v>0</v>
      </c>
      <c r="M3" s="174"/>
      <c r="N3" s="175"/>
      <c r="O3" s="176">
        <f>SUM(L3-M3-N3+P2)</f>
        <v>250</v>
      </c>
      <c r="P3" s="177"/>
      <c r="Q3" s="178"/>
      <c r="R3" s="179"/>
      <c r="S3" s="180"/>
      <c r="T3" s="181"/>
      <c r="U3" s="124"/>
      <c r="V3" s="124"/>
      <c r="W3" s="135"/>
      <c r="X3" s="182">
        <v>1</v>
      </c>
      <c r="Y3" s="183"/>
      <c r="Z3" s="184"/>
      <c r="AA3" s="185"/>
      <c r="AB3" s="185"/>
      <c r="AC3" s="186"/>
      <c r="AD3" s="186"/>
      <c r="AE3" s="187">
        <f t="shared" ref="AE3:AE9" si="2">SUM(AC3:AD3)</f>
        <v>0</v>
      </c>
      <c r="AF3" s="185"/>
      <c r="AG3" s="185"/>
      <c r="AH3" s="188"/>
      <c r="AI3" s="189"/>
      <c r="AJ3" s="187">
        <v>0</v>
      </c>
      <c r="AK3" s="23"/>
      <c r="AL3" s="24"/>
      <c r="AM3" s="302"/>
      <c r="AN3" s="24"/>
      <c r="AQ3" s="100"/>
      <c r="AR3" s="59"/>
      <c r="AS3" s="59"/>
      <c r="AT3" s="59"/>
      <c r="AU3" s="59"/>
      <c r="AV3" s="59"/>
      <c r="AW3" s="100"/>
      <c r="AY3" s="2"/>
      <c r="AZ3" s="2"/>
      <c r="BA3" s="2"/>
      <c r="BB3" s="2"/>
      <c r="BC3" s="20"/>
      <c r="BD3" s="2"/>
    </row>
    <row r="4" spans="1:57" ht="16.5" thickBot="1" x14ac:dyDescent="0.3">
      <c r="A4" s="166">
        <v>44621</v>
      </c>
      <c r="B4" s="190"/>
      <c r="C4" s="179"/>
      <c r="D4" s="179"/>
      <c r="E4" s="175"/>
      <c r="F4" s="170">
        <f t="shared" ref="F4:F33" si="3">SUM(B4:E4)</f>
        <v>0</v>
      </c>
      <c r="G4" s="171">
        <f t="shared" ref="G4:G33" si="4">F4</f>
        <v>0</v>
      </c>
      <c r="H4" s="179"/>
      <c r="I4" s="191"/>
      <c r="J4" s="175"/>
      <c r="K4" s="192">
        <f t="shared" si="0"/>
        <v>0</v>
      </c>
      <c r="L4" s="193">
        <f t="shared" si="1"/>
        <v>0</v>
      </c>
      <c r="M4" s="174"/>
      <c r="N4" s="194"/>
      <c r="O4" s="195">
        <f>SUM(L4-M4-N4+O3+P4)</f>
        <v>250</v>
      </c>
      <c r="P4" s="196"/>
      <c r="Q4" s="197"/>
      <c r="R4" s="179"/>
      <c r="S4" s="198"/>
      <c r="T4" s="199"/>
      <c r="U4" s="124"/>
      <c r="V4" s="124"/>
      <c r="W4" s="135"/>
      <c r="X4" s="182">
        <v>2</v>
      </c>
      <c r="Y4" s="200"/>
      <c r="Z4" s="201"/>
      <c r="AA4" s="182"/>
      <c r="AB4" s="182"/>
      <c r="AC4" s="108"/>
      <c r="AD4" s="108"/>
      <c r="AE4" s="108">
        <f t="shared" si="2"/>
        <v>0</v>
      </c>
      <c r="AF4" s="182"/>
      <c r="AG4" s="182"/>
      <c r="AH4" s="202"/>
      <c r="AI4" s="203"/>
      <c r="AJ4" s="108">
        <f>AE4</f>
        <v>0</v>
      </c>
      <c r="AK4" s="25"/>
      <c r="AL4" s="124"/>
      <c r="AM4" s="124"/>
      <c r="AN4" s="28"/>
      <c r="AQ4" s="100"/>
      <c r="AR4" s="70"/>
      <c r="AS4" s="71"/>
      <c r="AT4" s="71"/>
      <c r="AU4" s="71"/>
      <c r="AV4" s="59"/>
      <c r="AW4" s="100"/>
      <c r="AY4" s="2"/>
      <c r="AZ4" s="2"/>
      <c r="BA4" s="12"/>
      <c r="BB4" s="2"/>
    </row>
    <row r="5" spans="1:57" ht="16.5" thickBot="1" x14ac:dyDescent="0.3">
      <c r="A5" s="166">
        <v>44622</v>
      </c>
      <c r="B5" s="190"/>
      <c r="C5" s="179"/>
      <c r="D5" s="179"/>
      <c r="E5" s="175"/>
      <c r="F5" s="170">
        <f t="shared" si="3"/>
        <v>0</v>
      </c>
      <c r="G5" s="171">
        <f t="shared" si="4"/>
        <v>0</v>
      </c>
      <c r="H5" s="179"/>
      <c r="I5" s="191"/>
      <c r="J5" s="175"/>
      <c r="K5" s="192">
        <f t="shared" si="0"/>
        <v>0</v>
      </c>
      <c r="L5" s="193">
        <f t="shared" si="1"/>
        <v>0</v>
      </c>
      <c r="M5" s="174"/>
      <c r="N5" s="194"/>
      <c r="O5" s="195">
        <f>SUM(L5-M5-N5+O4+P5)</f>
        <v>250</v>
      </c>
      <c r="P5" s="196"/>
      <c r="Q5" s="178"/>
      <c r="R5" s="179"/>
      <c r="S5" s="180"/>
      <c r="T5" s="181"/>
      <c r="U5" s="124"/>
      <c r="V5" s="124"/>
      <c r="W5" s="135"/>
      <c r="X5" s="182">
        <v>3</v>
      </c>
      <c r="Y5" s="204"/>
      <c r="Z5" s="205"/>
      <c r="AA5" s="206"/>
      <c r="AB5" s="206"/>
      <c r="AC5" s="186"/>
      <c r="AD5" s="186"/>
      <c r="AE5" s="187">
        <f t="shared" si="2"/>
        <v>0</v>
      </c>
      <c r="AF5" s="206"/>
      <c r="AG5" s="206"/>
      <c r="AH5" s="188"/>
      <c r="AI5" s="189"/>
      <c r="AJ5" s="187">
        <v>0</v>
      </c>
      <c r="AK5" s="25"/>
      <c r="AL5" s="124"/>
      <c r="AM5" s="124"/>
      <c r="AN5" s="32"/>
      <c r="AQ5" s="100"/>
      <c r="AR5" s="70"/>
      <c r="AS5" s="71"/>
      <c r="AT5" s="71"/>
      <c r="AU5" s="71"/>
      <c r="AV5" s="59"/>
      <c r="AW5" s="100"/>
      <c r="AY5" s="12"/>
      <c r="AZ5" s="2"/>
      <c r="BA5" s="12"/>
      <c r="BB5" s="2"/>
    </row>
    <row r="6" spans="1:57" ht="19.5" thickBot="1" x14ac:dyDescent="0.35">
      <c r="A6" s="166">
        <v>44623</v>
      </c>
      <c r="B6" s="190"/>
      <c r="C6" s="179"/>
      <c r="D6" s="179"/>
      <c r="E6" s="175"/>
      <c r="F6" s="170">
        <f t="shared" si="3"/>
        <v>0</v>
      </c>
      <c r="G6" s="171">
        <f t="shared" si="4"/>
        <v>0</v>
      </c>
      <c r="H6" s="179"/>
      <c r="I6" s="191"/>
      <c r="J6" s="175"/>
      <c r="K6" s="192">
        <f t="shared" si="0"/>
        <v>0</v>
      </c>
      <c r="L6" s="193">
        <f t="shared" si="1"/>
        <v>0</v>
      </c>
      <c r="M6" s="174"/>
      <c r="N6" s="194"/>
      <c r="O6" s="195">
        <f>SUM(L6-M6-N6+O5+P6)</f>
        <v>250</v>
      </c>
      <c r="P6" s="196"/>
      <c r="Q6" s="178"/>
      <c r="R6" s="179"/>
      <c r="S6" s="198"/>
      <c r="T6" s="199"/>
      <c r="U6" s="124"/>
      <c r="V6" s="124"/>
      <c r="W6" s="135"/>
      <c r="X6" s="182">
        <v>4</v>
      </c>
      <c r="Y6" s="183"/>
      <c r="Z6" s="184"/>
      <c r="AA6" s="185"/>
      <c r="AB6" s="207"/>
      <c r="AC6" s="186"/>
      <c r="AD6" s="186"/>
      <c r="AE6" s="187">
        <f t="shared" si="2"/>
        <v>0</v>
      </c>
      <c r="AF6" s="185"/>
      <c r="AG6" s="185"/>
      <c r="AH6" s="188"/>
      <c r="AI6" s="189"/>
      <c r="AJ6" s="187">
        <v>0</v>
      </c>
      <c r="AK6" s="301"/>
      <c r="AL6" s="124"/>
      <c r="AM6" s="124"/>
      <c r="AN6" s="34"/>
      <c r="AQ6" s="100"/>
      <c r="AR6" s="70"/>
      <c r="AS6" s="71"/>
      <c r="AT6" s="71"/>
      <c r="AU6" s="71"/>
      <c r="AV6" s="59"/>
      <c r="AW6" s="100"/>
      <c r="AY6" s="12"/>
      <c r="AZ6" s="2"/>
      <c r="BA6" s="12"/>
      <c r="BB6" s="2"/>
    </row>
    <row r="7" spans="1:57" ht="16.5" thickBot="1" x14ac:dyDescent="0.3">
      <c r="A7" s="166">
        <v>44624</v>
      </c>
      <c r="B7" s="190"/>
      <c r="C7" s="179"/>
      <c r="D7" s="179"/>
      <c r="E7" s="175"/>
      <c r="F7" s="170">
        <f t="shared" si="3"/>
        <v>0</v>
      </c>
      <c r="G7" s="171">
        <f t="shared" si="4"/>
        <v>0</v>
      </c>
      <c r="H7" s="179"/>
      <c r="I7" s="191"/>
      <c r="J7" s="175"/>
      <c r="K7" s="192">
        <f t="shared" si="0"/>
        <v>0</v>
      </c>
      <c r="L7" s="193">
        <f t="shared" si="1"/>
        <v>0</v>
      </c>
      <c r="M7" s="174"/>
      <c r="N7" s="194"/>
      <c r="O7" s="195">
        <f>SUM(L7-M7-N7+O6+P7)</f>
        <v>250</v>
      </c>
      <c r="P7" s="196"/>
      <c r="Q7" s="178"/>
      <c r="R7" s="179"/>
      <c r="S7" s="180"/>
      <c r="T7" s="199"/>
      <c r="U7" s="124"/>
      <c r="V7" s="124"/>
      <c r="W7" s="135"/>
      <c r="X7" s="182">
        <v>5</v>
      </c>
      <c r="Y7" s="200"/>
      <c r="Z7" s="201"/>
      <c r="AA7" s="182"/>
      <c r="AB7" s="182"/>
      <c r="AC7" s="108"/>
      <c r="AD7" s="108"/>
      <c r="AE7" s="108">
        <f t="shared" si="2"/>
        <v>0</v>
      </c>
      <c r="AF7" s="182"/>
      <c r="AG7" s="208"/>
      <c r="AH7" s="202"/>
      <c r="AI7" s="203"/>
      <c r="AJ7" s="108">
        <v>0</v>
      </c>
      <c r="AK7" s="23"/>
      <c r="AL7" s="124"/>
      <c r="AM7" s="124"/>
      <c r="AN7" s="24"/>
      <c r="AQ7" s="100"/>
      <c r="AR7" s="70"/>
      <c r="AS7" s="59"/>
      <c r="AT7" s="59"/>
      <c r="AU7" s="71"/>
      <c r="AV7" s="59"/>
      <c r="AW7" s="100"/>
      <c r="AY7" s="2"/>
      <c r="AZ7" s="2"/>
      <c r="BA7" s="12"/>
      <c r="BB7" s="2"/>
    </row>
    <row r="8" spans="1:57" ht="19.5" thickBot="1" x14ac:dyDescent="0.35">
      <c r="A8" s="166">
        <v>44625</v>
      </c>
      <c r="B8" s="190"/>
      <c r="C8" s="179"/>
      <c r="D8" s="179"/>
      <c r="E8" s="175"/>
      <c r="F8" s="170">
        <f t="shared" si="3"/>
        <v>0</v>
      </c>
      <c r="G8" s="171">
        <f t="shared" si="4"/>
        <v>0</v>
      </c>
      <c r="H8" s="179"/>
      <c r="I8" s="191"/>
      <c r="J8" s="175"/>
      <c r="K8" s="192">
        <f t="shared" si="0"/>
        <v>0</v>
      </c>
      <c r="L8" s="193">
        <f t="shared" si="1"/>
        <v>0</v>
      </c>
      <c r="M8" s="209"/>
      <c r="N8" s="194"/>
      <c r="O8" s="195">
        <f>SUM(L8-M8-N8+O7+P8)</f>
        <v>250</v>
      </c>
      <c r="P8" s="196"/>
      <c r="Q8" s="178"/>
      <c r="R8" s="179"/>
      <c r="S8" s="180"/>
      <c r="T8" s="199"/>
      <c r="U8" s="124"/>
      <c r="V8" s="124"/>
      <c r="W8" s="135"/>
      <c r="X8" s="182">
        <v>6</v>
      </c>
      <c r="Y8" s="183"/>
      <c r="Z8" s="184"/>
      <c r="AA8" s="185"/>
      <c r="AB8" s="185"/>
      <c r="AC8" s="186"/>
      <c r="AD8" s="186"/>
      <c r="AE8" s="187">
        <f t="shared" si="2"/>
        <v>0</v>
      </c>
      <c r="AF8" s="206"/>
      <c r="AG8" s="185"/>
      <c r="AH8" s="188"/>
      <c r="AI8" s="189"/>
      <c r="AJ8" s="187">
        <v>0</v>
      </c>
      <c r="AK8" s="163"/>
      <c r="AL8" s="124"/>
      <c r="AM8" s="124"/>
      <c r="AN8" s="34"/>
      <c r="AQ8" s="100"/>
      <c r="AR8" s="59"/>
      <c r="AS8" s="71"/>
      <c r="AT8" s="71"/>
      <c r="AU8" s="71"/>
      <c r="AV8" s="59"/>
      <c r="AW8" s="100"/>
      <c r="AY8" s="2"/>
      <c r="AZ8" s="2"/>
      <c r="BA8" s="2"/>
      <c r="BB8" s="2"/>
    </row>
    <row r="9" spans="1:57" ht="16.5" thickBot="1" x14ac:dyDescent="0.3">
      <c r="A9" s="166">
        <v>44626</v>
      </c>
      <c r="B9" s="190"/>
      <c r="C9" s="179"/>
      <c r="D9" s="179"/>
      <c r="E9" s="175"/>
      <c r="F9" s="170">
        <f t="shared" si="3"/>
        <v>0</v>
      </c>
      <c r="G9" s="171">
        <f t="shared" si="4"/>
        <v>0</v>
      </c>
      <c r="H9" s="179"/>
      <c r="I9" s="191"/>
      <c r="J9" s="175"/>
      <c r="K9" s="192">
        <f t="shared" si="0"/>
        <v>0</v>
      </c>
      <c r="L9" s="193">
        <f t="shared" si="1"/>
        <v>0</v>
      </c>
      <c r="M9" s="174"/>
      <c r="N9" s="194"/>
      <c r="O9" s="195">
        <f t="shared" ref="O9:O33" si="5">SUM(L9-M9-N9+O8)</f>
        <v>250</v>
      </c>
      <c r="P9" s="196"/>
      <c r="Q9" s="178"/>
      <c r="R9" s="179"/>
      <c r="S9" s="180"/>
      <c r="T9" s="199"/>
      <c r="U9" s="124"/>
      <c r="V9" s="124"/>
      <c r="W9" s="135"/>
      <c r="X9" s="182">
        <v>7</v>
      </c>
      <c r="Y9" s="200"/>
      <c r="Z9" s="201"/>
      <c r="AA9" s="182"/>
      <c r="AB9" s="182"/>
      <c r="AC9" s="210"/>
      <c r="AD9" s="210"/>
      <c r="AE9" s="108">
        <f t="shared" si="2"/>
        <v>0</v>
      </c>
      <c r="AF9" s="182"/>
      <c r="AG9" s="182"/>
      <c r="AH9" s="202"/>
      <c r="AI9" s="203"/>
      <c r="AJ9" s="108">
        <f>AE9</f>
        <v>0</v>
      </c>
      <c r="AK9" s="163"/>
      <c r="AL9" s="124"/>
      <c r="AM9" s="124"/>
      <c r="AN9" s="24"/>
      <c r="AQ9" s="100"/>
      <c r="AR9" s="70"/>
      <c r="AS9" s="59"/>
      <c r="AT9" s="59"/>
      <c r="AU9" s="59"/>
      <c r="AV9" s="59"/>
      <c r="AW9" s="100"/>
      <c r="AY9" s="2"/>
      <c r="AZ9" s="2"/>
      <c r="BA9" s="2"/>
      <c r="BB9" s="2"/>
    </row>
    <row r="10" spans="1:57" ht="19.5" thickBot="1" x14ac:dyDescent="0.35">
      <c r="A10" s="166">
        <v>44627</v>
      </c>
      <c r="B10" s="190"/>
      <c r="C10" s="179"/>
      <c r="D10" s="179"/>
      <c r="E10" s="175"/>
      <c r="F10" s="170">
        <f t="shared" si="3"/>
        <v>0</v>
      </c>
      <c r="G10" s="171">
        <f t="shared" si="4"/>
        <v>0</v>
      </c>
      <c r="H10" s="179"/>
      <c r="I10" s="191"/>
      <c r="J10" s="175"/>
      <c r="K10" s="192">
        <f t="shared" si="0"/>
        <v>0</v>
      </c>
      <c r="L10" s="193">
        <f t="shared" si="1"/>
        <v>0</v>
      </c>
      <c r="M10" s="174"/>
      <c r="N10" s="194"/>
      <c r="O10" s="195">
        <f t="shared" si="5"/>
        <v>250</v>
      </c>
      <c r="P10" s="196"/>
      <c r="Q10" s="178"/>
      <c r="R10" s="179"/>
      <c r="S10" s="180"/>
      <c r="T10" s="199"/>
      <c r="U10" s="124"/>
      <c r="V10" s="124"/>
      <c r="W10" s="135"/>
      <c r="X10" s="182">
        <v>8</v>
      </c>
      <c r="Y10" s="200"/>
      <c r="Z10" s="201"/>
      <c r="AA10" s="182"/>
      <c r="AB10" s="182"/>
      <c r="AC10" s="210"/>
      <c r="AD10" s="210"/>
      <c r="AE10" s="108">
        <f t="shared" ref="AE10:AE29" si="6">SUM(AC10:AD10)</f>
        <v>0</v>
      </c>
      <c r="AF10" s="182"/>
      <c r="AG10" s="182"/>
      <c r="AH10" s="202"/>
      <c r="AI10" s="203"/>
      <c r="AJ10" s="108">
        <f t="shared" ref="AJ10:AJ29" si="7">AE10</f>
        <v>0</v>
      </c>
      <c r="AK10" s="163"/>
      <c r="AL10" s="124"/>
      <c r="AM10" s="124"/>
      <c r="AN10" s="22"/>
      <c r="AQ10" s="100"/>
      <c r="AR10" s="59"/>
      <c r="AS10" s="59"/>
      <c r="AT10" s="59"/>
      <c r="AU10" s="59"/>
      <c r="AV10" s="59"/>
      <c r="AW10" s="100"/>
      <c r="AY10" s="2"/>
      <c r="AZ10" s="2"/>
      <c r="BA10" s="2"/>
      <c r="BB10" s="2"/>
    </row>
    <row r="11" spans="1:57" ht="19.5" thickBot="1" x14ac:dyDescent="0.35">
      <c r="A11" s="166">
        <v>44628</v>
      </c>
      <c r="B11" s="190"/>
      <c r="C11" s="179"/>
      <c r="D11" s="179"/>
      <c r="E11" s="175"/>
      <c r="F11" s="170">
        <f t="shared" si="3"/>
        <v>0</v>
      </c>
      <c r="G11" s="171">
        <f t="shared" si="4"/>
        <v>0</v>
      </c>
      <c r="H11" s="179"/>
      <c r="I11" s="191"/>
      <c r="J11" s="175"/>
      <c r="K11" s="192">
        <f t="shared" si="0"/>
        <v>0</v>
      </c>
      <c r="L11" s="193">
        <f t="shared" si="1"/>
        <v>0</v>
      </c>
      <c r="M11" s="174"/>
      <c r="N11" s="194"/>
      <c r="O11" s="195">
        <f t="shared" si="5"/>
        <v>250</v>
      </c>
      <c r="P11" s="196"/>
      <c r="Q11" s="211"/>
      <c r="R11" s="212"/>
      <c r="S11" s="198"/>
      <c r="T11" s="213"/>
      <c r="U11" s="124"/>
      <c r="V11" s="124"/>
      <c r="W11" s="135"/>
      <c r="X11" s="182">
        <v>9</v>
      </c>
      <c r="Y11" s="200"/>
      <c r="Z11" s="201"/>
      <c r="AA11" s="182"/>
      <c r="AB11" s="182"/>
      <c r="AC11" s="108"/>
      <c r="AD11" s="108"/>
      <c r="AE11" s="108">
        <f t="shared" si="6"/>
        <v>0</v>
      </c>
      <c r="AF11" s="182"/>
      <c r="AG11" s="182"/>
      <c r="AH11" s="202"/>
      <c r="AI11" s="203"/>
      <c r="AJ11" s="108">
        <f t="shared" si="7"/>
        <v>0</v>
      </c>
      <c r="AK11" s="163"/>
      <c r="AL11" s="124"/>
      <c r="AM11" s="124"/>
      <c r="AN11" s="22"/>
      <c r="AQ11" s="100"/>
      <c r="AR11" s="59"/>
      <c r="AS11" s="59"/>
      <c r="AT11" s="59"/>
      <c r="AU11" s="59"/>
      <c r="AV11" s="75"/>
      <c r="AW11" s="100"/>
      <c r="AY11" s="2"/>
      <c r="AZ11" s="2"/>
      <c r="BA11" s="2"/>
      <c r="BB11" s="2"/>
    </row>
    <row r="12" spans="1:57" ht="19.5" thickBot="1" x14ac:dyDescent="0.35">
      <c r="A12" s="166">
        <v>44629</v>
      </c>
      <c r="B12" s="190"/>
      <c r="C12" s="179"/>
      <c r="D12" s="179"/>
      <c r="E12" s="175"/>
      <c r="F12" s="170">
        <f t="shared" si="3"/>
        <v>0</v>
      </c>
      <c r="G12" s="171">
        <f t="shared" si="4"/>
        <v>0</v>
      </c>
      <c r="H12" s="179"/>
      <c r="I12" s="191"/>
      <c r="J12" s="175"/>
      <c r="K12" s="192">
        <f t="shared" si="0"/>
        <v>0</v>
      </c>
      <c r="L12" s="193">
        <f t="shared" si="1"/>
        <v>0</v>
      </c>
      <c r="M12" s="214"/>
      <c r="N12" s="194"/>
      <c r="O12" s="195">
        <f t="shared" si="5"/>
        <v>250</v>
      </c>
      <c r="P12" s="196"/>
      <c r="Q12" s="211"/>
      <c r="R12" s="212"/>
      <c r="S12" s="198"/>
      <c r="T12" s="213"/>
      <c r="U12" s="124"/>
      <c r="V12" s="124"/>
      <c r="W12" s="135"/>
      <c r="X12" s="182">
        <v>10</v>
      </c>
      <c r="Y12" s="200"/>
      <c r="Z12" s="201"/>
      <c r="AA12" s="182"/>
      <c r="AB12" s="182"/>
      <c r="AC12" s="108"/>
      <c r="AD12" s="108"/>
      <c r="AE12" s="108">
        <f t="shared" si="6"/>
        <v>0</v>
      </c>
      <c r="AF12" s="182"/>
      <c r="AG12" s="182"/>
      <c r="AH12" s="202"/>
      <c r="AI12" s="203"/>
      <c r="AJ12" s="108">
        <f t="shared" si="7"/>
        <v>0</v>
      </c>
      <c r="AK12" s="163"/>
      <c r="AL12" s="124"/>
      <c r="AM12" s="124"/>
      <c r="AN12" s="22"/>
      <c r="AQ12" s="100"/>
      <c r="AR12" s="75"/>
      <c r="AS12" s="59"/>
      <c r="AT12" s="59"/>
      <c r="AU12" s="59"/>
      <c r="AV12" s="75"/>
      <c r="AW12" s="100"/>
      <c r="AY12" s="2"/>
      <c r="AZ12" s="2"/>
      <c r="BA12" s="2"/>
      <c r="BB12" s="2"/>
    </row>
    <row r="13" spans="1:57" ht="19.5" thickBot="1" x14ac:dyDescent="0.35">
      <c r="A13" s="166">
        <v>44630</v>
      </c>
      <c r="B13" s="190"/>
      <c r="C13" s="179"/>
      <c r="D13" s="179"/>
      <c r="E13" s="175"/>
      <c r="F13" s="170">
        <f t="shared" si="3"/>
        <v>0</v>
      </c>
      <c r="G13" s="171">
        <f t="shared" si="4"/>
        <v>0</v>
      </c>
      <c r="H13" s="179"/>
      <c r="I13" s="191"/>
      <c r="J13" s="175"/>
      <c r="K13" s="192">
        <f t="shared" si="0"/>
        <v>0</v>
      </c>
      <c r="L13" s="193">
        <f t="shared" si="1"/>
        <v>0</v>
      </c>
      <c r="M13" s="174"/>
      <c r="N13" s="194"/>
      <c r="O13" s="195">
        <f t="shared" si="5"/>
        <v>250</v>
      </c>
      <c r="P13" s="196"/>
      <c r="Q13" s="215"/>
      <c r="R13" s="212"/>
      <c r="S13" s="198"/>
      <c r="T13" s="199"/>
      <c r="U13" s="124"/>
      <c r="V13" s="124"/>
      <c r="W13" s="135"/>
      <c r="X13" s="182">
        <v>11</v>
      </c>
      <c r="Y13" s="200"/>
      <c r="Z13" s="201"/>
      <c r="AA13" s="182"/>
      <c r="AB13" s="182"/>
      <c r="AC13" s="108"/>
      <c r="AD13" s="108"/>
      <c r="AE13" s="108">
        <f t="shared" si="6"/>
        <v>0</v>
      </c>
      <c r="AF13" s="182"/>
      <c r="AG13" s="216"/>
      <c r="AH13" s="202"/>
      <c r="AI13" s="203"/>
      <c r="AJ13" s="108">
        <f t="shared" si="7"/>
        <v>0</v>
      </c>
      <c r="AK13" s="301"/>
      <c r="AL13" s="124"/>
      <c r="AM13" s="124"/>
      <c r="AN13" s="16"/>
      <c r="AQ13" s="100"/>
      <c r="AR13" s="75"/>
      <c r="AS13" s="59"/>
      <c r="AT13" s="59"/>
      <c r="AU13" s="59"/>
      <c r="AV13" s="75"/>
      <c r="AW13" s="100"/>
    </row>
    <row r="14" spans="1:57" ht="19.5" thickBot="1" x14ac:dyDescent="0.35">
      <c r="A14" s="166">
        <v>44631</v>
      </c>
      <c r="B14" s="190"/>
      <c r="C14" s="179"/>
      <c r="D14" s="179"/>
      <c r="E14" s="175"/>
      <c r="F14" s="170">
        <f t="shared" si="3"/>
        <v>0</v>
      </c>
      <c r="G14" s="171">
        <f t="shared" si="4"/>
        <v>0</v>
      </c>
      <c r="H14" s="179"/>
      <c r="I14" s="191"/>
      <c r="J14" s="175"/>
      <c r="K14" s="192">
        <f t="shared" si="0"/>
        <v>0</v>
      </c>
      <c r="L14" s="193">
        <f t="shared" si="1"/>
        <v>0</v>
      </c>
      <c r="M14" s="174"/>
      <c r="N14" s="194"/>
      <c r="O14" s="195">
        <f t="shared" si="5"/>
        <v>250</v>
      </c>
      <c r="P14" s="196"/>
      <c r="Q14" s="215"/>
      <c r="R14" s="212"/>
      <c r="S14" s="198"/>
      <c r="T14" s="199"/>
      <c r="U14" s="124"/>
      <c r="V14" s="124"/>
      <c r="W14" s="135"/>
      <c r="X14" s="182">
        <v>12</v>
      </c>
      <c r="Y14" s="217"/>
      <c r="Z14" s="201"/>
      <c r="AA14" s="182"/>
      <c r="AB14" s="182"/>
      <c r="AC14" s="210"/>
      <c r="AD14" s="210"/>
      <c r="AE14" s="108">
        <f t="shared" si="6"/>
        <v>0</v>
      </c>
      <c r="AF14" s="182"/>
      <c r="AG14" s="216"/>
      <c r="AH14" s="202"/>
      <c r="AI14" s="203"/>
      <c r="AJ14" s="108">
        <f t="shared" si="7"/>
        <v>0</v>
      </c>
      <c r="AK14" s="301"/>
      <c r="AL14" s="124"/>
      <c r="AM14" s="124"/>
      <c r="AN14" s="16"/>
      <c r="AO14" s="4"/>
      <c r="AQ14" s="100"/>
      <c r="AR14" s="59"/>
      <c r="AS14" s="59"/>
      <c r="AT14" s="59"/>
      <c r="AU14" s="59"/>
      <c r="AV14" s="75"/>
      <c r="AW14" s="100"/>
    </row>
    <row r="15" spans="1:57" ht="19.5" thickBot="1" x14ac:dyDescent="0.35">
      <c r="A15" s="166">
        <v>44632</v>
      </c>
      <c r="B15" s="190"/>
      <c r="C15" s="179"/>
      <c r="D15" s="179"/>
      <c r="E15" s="175"/>
      <c r="F15" s="170">
        <f t="shared" si="3"/>
        <v>0</v>
      </c>
      <c r="G15" s="171">
        <f t="shared" si="4"/>
        <v>0</v>
      </c>
      <c r="H15" s="179"/>
      <c r="I15" s="191"/>
      <c r="J15" s="175"/>
      <c r="K15" s="192">
        <f t="shared" si="0"/>
        <v>0</v>
      </c>
      <c r="L15" s="193">
        <f t="shared" si="1"/>
        <v>0</v>
      </c>
      <c r="M15" s="174"/>
      <c r="N15" s="194"/>
      <c r="O15" s="195">
        <f t="shared" si="5"/>
        <v>250</v>
      </c>
      <c r="P15" s="196"/>
      <c r="Q15" s="218"/>
      <c r="R15" s="179"/>
      <c r="S15" s="180"/>
      <c r="T15" s="199"/>
      <c r="U15" s="124"/>
      <c r="V15" s="124"/>
      <c r="W15" s="135"/>
      <c r="X15" s="182">
        <v>13</v>
      </c>
      <c r="Y15" s="200"/>
      <c r="Z15" s="201"/>
      <c r="AA15" s="182"/>
      <c r="AB15" s="182"/>
      <c r="AC15" s="210"/>
      <c r="AD15" s="210"/>
      <c r="AE15" s="108">
        <f t="shared" si="6"/>
        <v>0</v>
      </c>
      <c r="AF15" s="182"/>
      <c r="AG15" s="182"/>
      <c r="AH15" s="202"/>
      <c r="AI15" s="203"/>
      <c r="AJ15" s="108">
        <f t="shared" si="7"/>
        <v>0</v>
      </c>
      <c r="AK15" s="301"/>
      <c r="AL15" s="124"/>
      <c r="AM15" s="124"/>
      <c r="AN15" s="16"/>
      <c r="AQ15" s="100"/>
      <c r="AR15" s="59"/>
      <c r="AS15" s="59"/>
      <c r="AT15" s="59"/>
      <c r="AU15" s="59"/>
      <c r="AV15" s="75"/>
      <c r="AW15" s="100"/>
    </row>
    <row r="16" spans="1:57" ht="19.5" thickBot="1" x14ac:dyDescent="0.35">
      <c r="A16" s="166">
        <v>44633</v>
      </c>
      <c r="B16" s="190"/>
      <c r="C16" s="179"/>
      <c r="D16" s="179"/>
      <c r="E16" s="175"/>
      <c r="F16" s="170">
        <f t="shared" si="3"/>
        <v>0</v>
      </c>
      <c r="G16" s="171">
        <f t="shared" si="4"/>
        <v>0</v>
      </c>
      <c r="H16" s="179"/>
      <c r="I16" s="191"/>
      <c r="J16" s="175"/>
      <c r="K16" s="192">
        <f t="shared" si="0"/>
        <v>0</v>
      </c>
      <c r="L16" s="193">
        <f t="shared" si="1"/>
        <v>0</v>
      </c>
      <c r="M16" s="209"/>
      <c r="N16" s="194"/>
      <c r="O16" s="195">
        <f t="shared" si="5"/>
        <v>250</v>
      </c>
      <c r="P16" s="196"/>
      <c r="Q16" s="219"/>
      <c r="R16" s="179"/>
      <c r="S16" s="180"/>
      <c r="T16" s="199"/>
      <c r="U16" s="124"/>
      <c r="V16" s="124"/>
      <c r="W16" s="135"/>
      <c r="X16" s="182">
        <v>14</v>
      </c>
      <c r="Y16" s="200"/>
      <c r="Z16" s="201"/>
      <c r="AA16" s="182"/>
      <c r="AB16" s="182"/>
      <c r="AC16" s="210"/>
      <c r="AD16" s="210"/>
      <c r="AE16" s="108">
        <f t="shared" si="6"/>
        <v>0</v>
      </c>
      <c r="AF16" s="182"/>
      <c r="AG16" s="182"/>
      <c r="AH16" s="202"/>
      <c r="AI16" s="203"/>
      <c r="AJ16" s="108">
        <f t="shared" si="7"/>
        <v>0</v>
      </c>
      <c r="AK16" s="301"/>
      <c r="AL16" s="124"/>
      <c r="AM16" s="124"/>
      <c r="AN16" s="16"/>
      <c r="AQ16" s="100"/>
      <c r="AR16" s="59"/>
      <c r="AS16" s="59"/>
      <c r="AT16" s="59"/>
      <c r="AU16" s="59"/>
      <c r="AV16" s="75"/>
      <c r="AW16" s="100"/>
    </row>
    <row r="17" spans="1:54" ht="19.5" thickBot="1" x14ac:dyDescent="0.35">
      <c r="A17" s="166">
        <v>44634</v>
      </c>
      <c r="B17" s="190"/>
      <c r="C17" s="179"/>
      <c r="D17" s="179"/>
      <c r="E17" s="175"/>
      <c r="F17" s="170">
        <f t="shared" si="3"/>
        <v>0</v>
      </c>
      <c r="G17" s="171">
        <f t="shared" si="4"/>
        <v>0</v>
      </c>
      <c r="H17" s="179"/>
      <c r="I17" s="191"/>
      <c r="J17" s="175"/>
      <c r="K17" s="192">
        <f t="shared" si="0"/>
        <v>0</v>
      </c>
      <c r="L17" s="193">
        <f t="shared" si="1"/>
        <v>0</v>
      </c>
      <c r="M17" s="209"/>
      <c r="N17" s="194"/>
      <c r="O17" s="195">
        <f>SUM(L17-M17-N17+O16+P17)</f>
        <v>250</v>
      </c>
      <c r="P17" s="196"/>
      <c r="Q17" s="218"/>
      <c r="R17" s="179"/>
      <c r="S17" s="180"/>
      <c r="T17" s="199"/>
      <c r="U17" s="124"/>
      <c r="V17" s="124"/>
      <c r="W17" s="135"/>
      <c r="X17" s="182">
        <v>15</v>
      </c>
      <c r="Y17" s="200"/>
      <c r="Z17" s="201"/>
      <c r="AA17" s="182"/>
      <c r="AB17" s="182"/>
      <c r="AC17" s="210"/>
      <c r="AD17" s="210"/>
      <c r="AE17" s="108">
        <f t="shared" si="6"/>
        <v>0</v>
      </c>
      <c r="AF17" s="182"/>
      <c r="AG17" s="216"/>
      <c r="AH17" s="202"/>
      <c r="AI17" s="203"/>
      <c r="AJ17" s="108">
        <f t="shared" si="7"/>
        <v>0</v>
      </c>
      <c r="AK17" s="301"/>
      <c r="AL17" s="124"/>
      <c r="AM17" s="124"/>
      <c r="AN17" s="16"/>
      <c r="AQ17" s="100"/>
      <c r="AR17" s="59"/>
      <c r="AS17" s="59"/>
      <c r="AT17" s="59"/>
      <c r="AU17" s="59"/>
      <c r="AV17" s="75"/>
      <c r="AW17" s="100"/>
    </row>
    <row r="18" spans="1:54" ht="19.5" thickBot="1" x14ac:dyDescent="0.35">
      <c r="A18" s="166">
        <v>44635</v>
      </c>
      <c r="B18" s="190"/>
      <c r="C18" s="179"/>
      <c r="D18" s="179"/>
      <c r="E18" s="175"/>
      <c r="F18" s="170">
        <f t="shared" si="3"/>
        <v>0</v>
      </c>
      <c r="G18" s="171">
        <f t="shared" si="4"/>
        <v>0</v>
      </c>
      <c r="H18" s="179"/>
      <c r="I18" s="191"/>
      <c r="J18" s="175"/>
      <c r="K18" s="192">
        <f t="shared" si="0"/>
        <v>0</v>
      </c>
      <c r="L18" s="193">
        <f t="shared" si="1"/>
        <v>0</v>
      </c>
      <c r="M18" s="174"/>
      <c r="N18" s="220"/>
      <c r="O18" s="195">
        <f>SUM(L18-M18-N18+O17+P18)</f>
        <v>250</v>
      </c>
      <c r="P18" s="196"/>
      <c r="Q18" s="218"/>
      <c r="R18" s="179"/>
      <c r="S18" s="180"/>
      <c r="T18" s="199"/>
      <c r="U18" s="124"/>
      <c r="V18" s="124"/>
      <c r="W18" s="135"/>
      <c r="X18" s="182">
        <v>16</v>
      </c>
      <c r="Y18" s="200"/>
      <c r="Z18" s="201"/>
      <c r="AA18" s="182"/>
      <c r="AB18" s="182"/>
      <c r="AC18" s="108"/>
      <c r="AD18" s="108"/>
      <c r="AE18" s="108">
        <f t="shared" si="6"/>
        <v>0</v>
      </c>
      <c r="AF18" s="182"/>
      <c r="AG18" s="182"/>
      <c r="AH18" s="202"/>
      <c r="AI18" s="203"/>
      <c r="AJ18" s="108">
        <f t="shared" si="7"/>
        <v>0</v>
      </c>
      <c r="AK18" s="301"/>
      <c r="AL18" s="124"/>
      <c r="AM18" s="124"/>
      <c r="AN18" s="16"/>
      <c r="AQ18" s="100"/>
      <c r="AR18" s="59"/>
      <c r="AS18" s="59"/>
      <c r="AT18" s="59"/>
      <c r="AU18" s="59"/>
      <c r="AV18" s="59"/>
      <c r="AW18" s="100"/>
    </row>
    <row r="19" spans="1:54" ht="19.5" thickBot="1" x14ac:dyDescent="0.35">
      <c r="A19" s="166">
        <v>44636</v>
      </c>
      <c r="B19" s="190"/>
      <c r="C19" s="179"/>
      <c r="D19" s="179"/>
      <c r="E19" s="175"/>
      <c r="F19" s="170">
        <f t="shared" si="3"/>
        <v>0</v>
      </c>
      <c r="G19" s="171">
        <f t="shared" si="4"/>
        <v>0</v>
      </c>
      <c r="H19" s="179"/>
      <c r="I19" s="191"/>
      <c r="J19" s="175"/>
      <c r="K19" s="192">
        <f t="shared" si="0"/>
        <v>0</v>
      </c>
      <c r="L19" s="193">
        <f t="shared" si="1"/>
        <v>0</v>
      </c>
      <c r="M19" s="174"/>
      <c r="N19" s="194"/>
      <c r="O19" s="195">
        <f>SUM(L19-M19-N19+O18+P19)</f>
        <v>250</v>
      </c>
      <c r="P19" s="196"/>
      <c r="Q19" s="218"/>
      <c r="R19" s="179"/>
      <c r="S19" s="180"/>
      <c r="T19" s="199"/>
      <c r="U19" s="124"/>
      <c r="V19" s="124"/>
      <c r="W19" s="135"/>
      <c r="X19" s="182">
        <v>17</v>
      </c>
      <c r="Y19" s="200"/>
      <c r="Z19" s="201"/>
      <c r="AA19" s="182"/>
      <c r="AB19" s="182"/>
      <c r="AC19" s="210"/>
      <c r="AD19" s="210"/>
      <c r="AE19" s="108">
        <f t="shared" si="6"/>
        <v>0</v>
      </c>
      <c r="AF19" s="208"/>
      <c r="AG19" s="182"/>
      <c r="AH19" s="202"/>
      <c r="AI19" s="203"/>
      <c r="AJ19" s="108">
        <f t="shared" si="7"/>
        <v>0</v>
      </c>
      <c r="AK19" s="301"/>
      <c r="AL19" s="124"/>
      <c r="AM19" s="124"/>
      <c r="AN19" s="16"/>
      <c r="AQ19" s="100"/>
      <c r="AR19" s="59"/>
      <c r="AS19" s="59"/>
      <c r="AT19" s="59"/>
      <c r="AU19" s="59"/>
      <c r="AV19" s="59"/>
      <c r="AW19" s="100"/>
    </row>
    <row r="20" spans="1:54" ht="19.5" thickBot="1" x14ac:dyDescent="0.35">
      <c r="A20" s="166">
        <v>44637</v>
      </c>
      <c r="B20" s="190"/>
      <c r="C20" s="179"/>
      <c r="D20" s="179"/>
      <c r="E20" s="175"/>
      <c r="F20" s="170">
        <f t="shared" si="3"/>
        <v>0</v>
      </c>
      <c r="G20" s="171">
        <f t="shared" si="4"/>
        <v>0</v>
      </c>
      <c r="H20" s="179"/>
      <c r="I20" s="191"/>
      <c r="J20" s="175"/>
      <c r="K20" s="192">
        <f t="shared" si="0"/>
        <v>0</v>
      </c>
      <c r="L20" s="193">
        <f t="shared" si="1"/>
        <v>0</v>
      </c>
      <c r="M20" s="174"/>
      <c r="N20" s="194"/>
      <c r="O20" s="195">
        <f>SUM(L20-M20-N20+O19+P20)</f>
        <v>250</v>
      </c>
      <c r="P20" s="196"/>
      <c r="Q20" s="218"/>
      <c r="R20" s="179"/>
      <c r="S20" s="180"/>
      <c r="T20" s="199"/>
      <c r="U20" s="124"/>
      <c r="V20" s="124"/>
      <c r="W20" s="135"/>
      <c r="X20" s="182">
        <v>18</v>
      </c>
      <c r="Y20" s="200"/>
      <c r="Z20" s="201"/>
      <c r="AA20" s="182"/>
      <c r="AB20" s="182"/>
      <c r="AC20" s="210"/>
      <c r="AD20" s="210"/>
      <c r="AE20" s="108">
        <f t="shared" si="6"/>
        <v>0</v>
      </c>
      <c r="AF20" s="182"/>
      <c r="AG20" s="216"/>
      <c r="AH20" s="202"/>
      <c r="AI20" s="203"/>
      <c r="AJ20" s="108">
        <f t="shared" si="7"/>
        <v>0</v>
      </c>
      <c r="AK20" s="301"/>
      <c r="AL20" s="124"/>
      <c r="AM20" s="124"/>
      <c r="AN20" s="22"/>
      <c r="AQ20" s="100"/>
      <c r="AR20" s="59"/>
      <c r="AS20" s="59"/>
      <c r="AT20" s="59"/>
      <c r="AU20" s="59"/>
      <c r="AV20" s="59"/>
      <c r="AW20" s="100"/>
    </row>
    <row r="21" spans="1:54" ht="19.5" thickBot="1" x14ac:dyDescent="0.35">
      <c r="A21" s="166">
        <v>44638</v>
      </c>
      <c r="B21" s="190"/>
      <c r="C21" s="179"/>
      <c r="D21" s="179"/>
      <c r="E21" s="175"/>
      <c r="F21" s="170">
        <f t="shared" si="3"/>
        <v>0</v>
      </c>
      <c r="G21" s="171">
        <f t="shared" si="4"/>
        <v>0</v>
      </c>
      <c r="H21" s="179"/>
      <c r="I21" s="191"/>
      <c r="J21" s="175"/>
      <c r="K21" s="192">
        <f t="shared" si="0"/>
        <v>0</v>
      </c>
      <c r="L21" s="193">
        <f t="shared" si="1"/>
        <v>0</v>
      </c>
      <c r="M21" s="174"/>
      <c r="N21" s="194"/>
      <c r="O21" s="195">
        <f t="shared" si="5"/>
        <v>250</v>
      </c>
      <c r="P21" s="196"/>
      <c r="Q21" s="218"/>
      <c r="R21" s="179"/>
      <c r="S21" s="180"/>
      <c r="T21" s="199"/>
      <c r="U21" s="124"/>
      <c r="V21" s="124"/>
      <c r="W21" s="135"/>
      <c r="X21" s="182">
        <v>19</v>
      </c>
      <c r="Y21" s="200"/>
      <c r="Z21" s="201"/>
      <c r="AA21" s="182"/>
      <c r="AB21" s="221"/>
      <c r="AC21" s="108"/>
      <c r="AD21" s="108"/>
      <c r="AE21" s="108">
        <f t="shared" si="6"/>
        <v>0</v>
      </c>
      <c r="AF21" s="182"/>
      <c r="AG21" s="182"/>
      <c r="AH21" s="202"/>
      <c r="AI21" s="203"/>
      <c r="AJ21" s="108">
        <f t="shared" si="7"/>
        <v>0</v>
      </c>
      <c r="AK21" s="301"/>
      <c r="AL21" s="124"/>
      <c r="AM21" s="124"/>
      <c r="AN21" s="22"/>
      <c r="AQ21" s="100"/>
      <c r="AR21" s="59"/>
      <c r="AS21" s="59"/>
      <c r="AT21" s="59"/>
      <c r="AU21" s="59"/>
      <c r="AV21" s="59"/>
      <c r="AW21" s="100"/>
    </row>
    <row r="22" spans="1:54" ht="19.5" thickBot="1" x14ac:dyDescent="0.35">
      <c r="A22" s="166">
        <v>44639</v>
      </c>
      <c r="B22" s="190"/>
      <c r="C22" s="179"/>
      <c r="D22" s="179"/>
      <c r="E22" s="175"/>
      <c r="F22" s="170">
        <f t="shared" si="3"/>
        <v>0</v>
      </c>
      <c r="G22" s="171">
        <f t="shared" si="4"/>
        <v>0</v>
      </c>
      <c r="H22" s="179"/>
      <c r="I22" s="191"/>
      <c r="J22" s="175"/>
      <c r="K22" s="192">
        <f t="shared" si="0"/>
        <v>0</v>
      </c>
      <c r="L22" s="193">
        <f t="shared" si="1"/>
        <v>0</v>
      </c>
      <c r="M22" s="174"/>
      <c r="N22" s="194"/>
      <c r="O22" s="195">
        <f t="shared" si="5"/>
        <v>250</v>
      </c>
      <c r="P22" s="196"/>
      <c r="Q22" s="218"/>
      <c r="R22" s="179"/>
      <c r="S22" s="180"/>
      <c r="T22" s="199"/>
      <c r="U22" s="124"/>
      <c r="V22" s="124"/>
      <c r="W22" s="135"/>
      <c r="X22" s="182">
        <v>20</v>
      </c>
      <c r="Y22" s="200"/>
      <c r="Z22" s="201"/>
      <c r="AA22" s="182"/>
      <c r="AB22" s="221"/>
      <c r="AC22" s="210"/>
      <c r="AD22" s="210"/>
      <c r="AE22" s="108">
        <f t="shared" si="6"/>
        <v>0</v>
      </c>
      <c r="AF22" s="182"/>
      <c r="AG22" s="182"/>
      <c r="AH22" s="202"/>
      <c r="AI22" s="203"/>
      <c r="AJ22" s="108">
        <f t="shared" si="7"/>
        <v>0</v>
      </c>
      <c r="AK22" s="301"/>
      <c r="AL22" s="124"/>
      <c r="AM22" s="124"/>
      <c r="AN22" s="16"/>
      <c r="AQ22" s="100"/>
      <c r="AR22" s="59"/>
      <c r="AS22" s="71"/>
      <c r="AT22" s="71"/>
      <c r="AU22" s="71"/>
      <c r="AV22" s="59"/>
      <c r="AW22" s="100"/>
    </row>
    <row r="23" spans="1:54" ht="19.5" thickBot="1" x14ac:dyDescent="0.35">
      <c r="A23" s="166">
        <v>44640</v>
      </c>
      <c r="B23" s="190"/>
      <c r="C23" s="179"/>
      <c r="D23" s="179"/>
      <c r="E23" s="175"/>
      <c r="F23" s="170">
        <f t="shared" si="3"/>
        <v>0</v>
      </c>
      <c r="G23" s="171">
        <f t="shared" si="4"/>
        <v>0</v>
      </c>
      <c r="H23" s="179"/>
      <c r="I23" s="191"/>
      <c r="J23" s="175"/>
      <c r="K23" s="192">
        <f t="shared" si="0"/>
        <v>0</v>
      </c>
      <c r="L23" s="193">
        <f t="shared" si="1"/>
        <v>0</v>
      </c>
      <c r="M23" s="174"/>
      <c r="N23" s="194"/>
      <c r="O23" s="195">
        <f t="shared" si="5"/>
        <v>250</v>
      </c>
      <c r="P23" s="196"/>
      <c r="Q23" s="211"/>
      <c r="R23" s="212"/>
      <c r="S23" s="180"/>
      <c r="T23" s="222"/>
      <c r="U23" s="124"/>
      <c r="V23" s="124"/>
      <c r="W23" s="135"/>
      <c r="X23" s="182">
        <v>21</v>
      </c>
      <c r="Y23" s="223"/>
      <c r="Z23" s="224"/>
      <c r="AA23" s="208"/>
      <c r="AB23" s="225"/>
      <c r="AC23" s="108"/>
      <c r="AD23" s="108"/>
      <c r="AE23" s="108">
        <f t="shared" si="6"/>
        <v>0</v>
      </c>
      <c r="AF23" s="208"/>
      <c r="AG23" s="226"/>
      <c r="AH23" s="202"/>
      <c r="AI23" s="203"/>
      <c r="AJ23" s="108">
        <f t="shared" si="7"/>
        <v>0</v>
      </c>
      <c r="AK23" s="301"/>
      <c r="AL23" s="124"/>
      <c r="AM23" s="124"/>
      <c r="AN23" s="16"/>
      <c r="AQ23" s="100"/>
      <c r="AR23" s="100"/>
      <c r="AS23" s="100"/>
      <c r="AT23" s="100"/>
      <c r="AU23" s="100"/>
      <c r="AV23" s="100"/>
      <c r="AW23" s="100"/>
    </row>
    <row r="24" spans="1:54" ht="19.5" thickBot="1" x14ac:dyDescent="0.35">
      <c r="A24" s="166">
        <v>44641</v>
      </c>
      <c r="B24" s="190"/>
      <c r="C24" s="179"/>
      <c r="D24" s="179"/>
      <c r="E24" s="175"/>
      <c r="F24" s="170">
        <f t="shared" si="3"/>
        <v>0</v>
      </c>
      <c r="G24" s="171">
        <f t="shared" si="4"/>
        <v>0</v>
      </c>
      <c r="H24" s="179"/>
      <c r="I24" s="191"/>
      <c r="J24" s="175"/>
      <c r="K24" s="192">
        <f t="shared" si="0"/>
        <v>0</v>
      </c>
      <c r="L24" s="193">
        <f t="shared" si="1"/>
        <v>0</v>
      </c>
      <c r="M24" s="209"/>
      <c r="N24" s="194"/>
      <c r="O24" s="195">
        <f>SUM(L24-M24-N24+O23+P24)</f>
        <v>250</v>
      </c>
      <c r="P24" s="196"/>
      <c r="Q24" s="211"/>
      <c r="R24" s="212"/>
      <c r="S24" s="180"/>
      <c r="T24" s="222"/>
      <c r="U24" s="124"/>
      <c r="V24" s="124"/>
      <c r="W24" s="135"/>
      <c r="X24" s="182">
        <v>22</v>
      </c>
      <c r="Y24" s="200"/>
      <c r="Z24" s="201"/>
      <c r="AA24" s="182"/>
      <c r="AB24" s="227"/>
      <c r="AC24" s="210"/>
      <c r="AD24" s="210"/>
      <c r="AE24" s="108">
        <f t="shared" si="6"/>
        <v>0</v>
      </c>
      <c r="AF24" s="182"/>
      <c r="AG24" s="226"/>
      <c r="AH24" s="202"/>
      <c r="AI24" s="203"/>
      <c r="AJ24" s="108">
        <f t="shared" si="7"/>
        <v>0</v>
      </c>
      <c r="AK24" s="301"/>
      <c r="AL24" s="124"/>
      <c r="AM24" s="124"/>
      <c r="AN24" s="16"/>
    </row>
    <row r="25" spans="1:54" ht="19.5" thickBot="1" x14ac:dyDescent="0.35">
      <c r="A25" s="166">
        <v>44642</v>
      </c>
      <c r="B25" s="190"/>
      <c r="C25" s="179"/>
      <c r="D25" s="179"/>
      <c r="E25" s="175"/>
      <c r="F25" s="170">
        <f t="shared" si="3"/>
        <v>0</v>
      </c>
      <c r="G25" s="171">
        <f t="shared" si="4"/>
        <v>0</v>
      </c>
      <c r="H25" s="179"/>
      <c r="I25" s="191"/>
      <c r="J25" s="175"/>
      <c r="K25" s="192">
        <f t="shared" si="0"/>
        <v>0</v>
      </c>
      <c r="L25" s="193">
        <f t="shared" si="1"/>
        <v>0</v>
      </c>
      <c r="M25" s="174"/>
      <c r="N25" s="194"/>
      <c r="O25" s="195">
        <f t="shared" si="5"/>
        <v>250</v>
      </c>
      <c r="P25" s="196"/>
      <c r="Q25" s="178"/>
      <c r="R25" s="179"/>
      <c r="S25" s="180"/>
      <c r="T25" s="181"/>
      <c r="U25" s="124"/>
      <c r="V25" s="124"/>
      <c r="W25" s="135"/>
      <c r="X25" s="182">
        <v>26</v>
      </c>
      <c r="Y25" s="223"/>
      <c r="Z25" s="224"/>
      <c r="AA25" s="208"/>
      <c r="AB25" s="228"/>
      <c r="AC25" s="210"/>
      <c r="AD25" s="210"/>
      <c r="AE25" s="108">
        <f t="shared" si="6"/>
        <v>0</v>
      </c>
      <c r="AF25" s="208"/>
      <c r="AG25" s="226"/>
      <c r="AH25" s="202"/>
      <c r="AI25" s="203"/>
      <c r="AJ25" s="108">
        <f t="shared" si="7"/>
        <v>0</v>
      </c>
      <c r="AK25" s="301"/>
      <c r="AL25" s="124"/>
      <c r="AM25" s="124"/>
      <c r="AN25" s="16"/>
      <c r="AW25" s="2"/>
    </row>
    <row r="26" spans="1:54" ht="19.5" thickBot="1" x14ac:dyDescent="0.35">
      <c r="A26" s="166">
        <v>44643</v>
      </c>
      <c r="B26" s="190"/>
      <c r="C26" s="179"/>
      <c r="D26" s="179"/>
      <c r="E26" s="175"/>
      <c r="F26" s="170">
        <f t="shared" si="3"/>
        <v>0</v>
      </c>
      <c r="G26" s="171">
        <f t="shared" si="4"/>
        <v>0</v>
      </c>
      <c r="H26" s="179"/>
      <c r="I26" s="191"/>
      <c r="J26" s="175"/>
      <c r="K26" s="192">
        <f t="shared" si="0"/>
        <v>0</v>
      </c>
      <c r="L26" s="193">
        <f t="shared" si="1"/>
        <v>0</v>
      </c>
      <c r="M26" s="174"/>
      <c r="N26" s="194"/>
      <c r="O26" s="195">
        <f t="shared" si="5"/>
        <v>250</v>
      </c>
      <c r="P26" s="196"/>
      <c r="Q26" s="178"/>
      <c r="R26" s="179"/>
      <c r="S26" s="180"/>
      <c r="T26" s="222"/>
      <c r="U26" s="124"/>
      <c r="V26" s="124"/>
      <c r="W26" s="135"/>
      <c r="X26" s="182">
        <v>27</v>
      </c>
      <c r="Y26" s="223"/>
      <c r="Z26" s="224"/>
      <c r="AA26" s="208"/>
      <c r="AB26" s="228"/>
      <c r="AC26" s="210"/>
      <c r="AD26" s="210"/>
      <c r="AE26" s="108">
        <f t="shared" si="6"/>
        <v>0</v>
      </c>
      <c r="AF26" s="208"/>
      <c r="AG26" s="226"/>
      <c r="AH26" s="202"/>
      <c r="AI26" s="203"/>
      <c r="AJ26" s="108">
        <f t="shared" si="7"/>
        <v>0</v>
      </c>
      <c r="AK26" s="301"/>
      <c r="AL26" s="124"/>
      <c r="AM26" s="124"/>
      <c r="AN26" s="16"/>
      <c r="AW26" s="2"/>
      <c r="AY26" s="2"/>
    </row>
    <row r="27" spans="1:54" ht="19.5" thickBot="1" x14ac:dyDescent="0.35">
      <c r="A27" s="166">
        <v>44644</v>
      </c>
      <c r="B27" s="190"/>
      <c r="C27" s="179"/>
      <c r="D27" s="179"/>
      <c r="E27" s="175"/>
      <c r="F27" s="170">
        <f t="shared" si="3"/>
        <v>0</v>
      </c>
      <c r="G27" s="171">
        <f t="shared" si="4"/>
        <v>0</v>
      </c>
      <c r="H27" s="179"/>
      <c r="I27" s="191"/>
      <c r="J27" s="175"/>
      <c r="K27" s="192">
        <f t="shared" si="0"/>
        <v>0</v>
      </c>
      <c r="L27" s="193">
        <f t="shared" si="1"/>
        <v>0</v>
      </c>
      <c r="M27" s="209"/>
      <c r="N27" s="194"/>
      <c r="O27" s="195">
        <f t="shared" si="5"/>
        <v>250</v>
      </c>
      <c r="P27" s="196"/>
      <c r="Q27" s="178"/>
      <c r="R27" s="179"/>
      <c r="S27" s="180"/>
      <c r="T27" s="222"/>
      <c r="U27" s="124"/>
      <c r="V27" s="124"/>
      <c r="W27" s="135"/>
      <c r="X27" s="182">
        <v>28</v>
      </c>
      <c r="Y27" s="200"/>
      <c r="Z27" s="201"/>
      <c r="AA27" s="182"/>
      <c r="AB27" s="182"/>
      <c r="AC27" s="210"/>
      <c r="AD27" s="210"/>
      <c r="AE27" s="108">
        <f t="shared" si="6"/>
        <v>0</v>
      </c>
      <c r="AF27" s="182"/>
      <c r="AG27" s="182"/>
      <c r="AH27" s="202"/>
      <c r="AI27" s="203"/>
      <c r="AJ27" s="108">
        <f t="shared" si="7"/>
        <v>0</v>
      </c>
      <c r="AK27" s="301"/>
      <c r="AL27" s="124"/>
      <c r="AM27" s="124"/>
      <c r="AN27" s="16"/>
      <c r="AR27" s="2"/>
      <c r="AS27" s="2"/>
      <c r="AT27" s="2"/>
      <c r="AU27" s="2"/>
      <c r="AV27" s="2"/>
      <c r="AW27" s="2"/>
      <c r="AY27" s="2"/>
      <c r="AZ27" s="2"/>
      <c r="BA27" s="2"/>
      <c r="BB27" s="2"/>
    </row>
    <row r="28" spans="1:54" ht="19.5" thickBot="1" x14ac:dyDescent="0.35">
      <c r="A28" s="166">
        <v>44645</v>
      </c>
      <c r="B28" s="190"/>
      <c r="C28" s="179"/>
      <c r="D28" s="179"/>
      <c r="E28" s="175"/>
      <c r="F28" s="170">
        <f t="shared" si="3"/>
        <v>0</v>
      </c>
      <c r="G28" s="171">
        <f t="shared" si="4"/>
        <v>0</v>
      </c>
      <c r="H28" s="179"/>
      <c r="I28" s="191"/>
      <c r="J28" s="175"/>
      <c r="K28" s="192">
        <f t="shared" si="0"/>
        <v>0</v>
      </c>
      <c r="L28" s="193">
        <f t="shared" si="1"/>
        <v>0</v>
      </c>
      <c r="M28" s="174"/>
      <c r="N28" s="194"/>
      <c r="O28" s="195">
        <f>SUM(L28-M28-N28+O27+P28)</f>
        <v>250</v>
      </c>
      <c r="P28" s="196"/>
      <c r="Q28" s="178"/>
      <c r="R28" s="179"/>
      <c r="S28" s="180"/>
      <c r="T28" s="222"/>
      <c r="U28" s="124"/>
      <c r="V28" s="124"/>
      <c r="W28" s="135"/>
      <c r="X28" s="182">
        <v>29</v>
      </c>
      <c r="Y28" s="200"/>
      <c r="Z28" s="201"/>
      <c r="AA28" s="182"/>
      <c r="AB28" s="182"/>
      <c r="AC28" s="210"/>
      <c r="AD28" s="210"/>
      <c r="AE28" s="108">
        <f t="shared" si="6"/>
        <v>0</v>
      </c>
      <c r="AF28" s="182"/>
      <c r="AG28" s="182"/>
      <c r="AH28" s="202"/>
      <c r="AI28" s="203"/>
      <c r="AJ28" s="108">
        <f t="shared" si="7"/>
        <v>0</v>
      </c>
      <c r="AK28" s="163"/>
      <c r="AL28" s="124"/>
      <c r="AM28" s="124"/>
      <c r="AN28" s="16"/>
      <c r="AR28" s="92"/>
      <c r="AS28" s="11"/>
      <c r="AT28" s="11"/>
      <c r="AU28" s="11"/>
      <c r="AV28" s="2"/>
      <c r="AW28" s="2"/>
      <c r="AY28" s="2"/>
      <c r="AZ28" s="2"/>
      <c r="BA28" s="12"/>
      <c r="BB28" s="2"/>
    </row>
    <row r="29" spans="1:54" ht="19.5" thickBot="1" x14ac:dyDescent="0.35">
      <c r="A29" s="166">
        <v>44646</v>
      </c>
      <c r="B29" s="190"/>
      <c r="C29" s="179"/>
      <c r="D29" s="179"/>
      <c r="E29" s="175"/>
      <c r="F29" s="170">
        <f t="shared" si="3"/>
        <v>0</v>
      </c>
      <c r="G29" s="171">
        <f t="shared" si="4"/>
        <v>0</v>
      </c>
      <c r="H29" s="179"/>
      <c r="I29" s="191"/>
      <c r="J29" s="175"/>
      <c r="K29" s="192">
        <f t="shared" si="0"/>
        <v>0</v>
      </c>
      <c r="L29" s="193">
        <f t="shared" si="1"/>
        <v>0</v>
      </c>
      <c r="M29" s="174"/>
      <c r="N29" s="194"/>
      <c r="O29" s="195">
        <f t="shared" si="5"/>
        <v>250</v>
      </c>
      <c r="P29" s="135"/>
      <c r="Q29" s="178"/>
      <c r="R29" s="179"/>
      <c r="S29" s="180"/>
      <c r="T29" s="222"/>
      <c r="U29" s="124"/>
      <c r="V29" s="124"/>
      <c r="W29" s="135"/>
      <c r="X29" s="182">
        <v>30</v>
      </c>
      <c r="Y29" s="200"/>
      <c r="Z29" s="201"/>
      <c r="AA29" s="182"/>
      <c r="AB29" s="182"/>
      <c r="AC29" s="108"/>
      <c r="AD29" s="108"/>
      <c r="AE29" s="108">
        <f t="shared" si="6"/>
        <v>0</v>
      </c>
      <c r="AF29" s="182"/>
      <c r="AG29" s="182"/>
      <c r="AH29" s="202"/>
      <c r="AI29" s="203"/>
      <c r="AJ29" s="108">
        <f t="shared" si="7"/>
        <v>0</v>
      </c>
      <c r="AK29" s="163"/>
      <c r="AL29" s="124"/>
      <c r="AM29" s="124"/>
      <c r="AN29" s="22"/>
      <c r="AR29" s="92"/>
      <c r="AS29" s="11"/>
      <c r="AT29" s="11"/>
      <c r="AU29" s="11"/>
      <c r="AV29" s="2"/>
      <c r="AW29" s="2"/>
      <c r="AY29" s="12"/>
      <c r="AZ29" s="2"/>
      <c r="BA29" s="12"/>
      <c r="BB29" s="2"/>
    </row>
    <row r="30" spans="1:54" ht="19.5" thickBot="1" x14ac:dyDescent="0.35">
      <c r="A30" s="166">
        <v>44647</v>
      </c>
      <c r="B30" s="229"/>
      <c r="C30" s="179"/>
      <c r="D30" s="179"/>
      <c r="E30" s="175"/>
      <c r="F30" s="170">
        <f t="shared" si="3"/>
        <v>0</v>
      </c>
      <c r="G30" s="171">
        <f t="shared" si="4"/>
        <v>0</v>
      </c>
      <c r="H30" s="179"/>
      <c r="I30" s="191"/>
      <c r="J30" s="175"/>
      <c r="K30" s="192">
        <f t="shared" si="0"/>
        <v>0</v>
      </c>
      <c r="L30" s="193">
        <f t="shared" si="1"/>
        <v>0</v>
      </c>
      <c r="M30" s="209"/>
      <c r="N30" s="194"/>
      <c r="O30" s="195">
        <f>SUM(L30-M30-N30+O29+P30)</f>
        <v>250</v>
      </c>
      <c r="P30" s="135"/>
      <c r="Q30" s="178"/>
      <c r="R30" s="179"/>
      <c r="S30" s="230"/>
      <c r="T30" s="222"/>
      <c r="U30" s="124"/>
      <c r="V30" s="124"/>
      <c r="W30" s="135"/>
      <c r="X30" s="24"/>
      <c r="Y30" s="160"/>
      <c r="Z30" s="161"/>
      <c r="AA30" s="24"/>
      <c r="AB30" s="24"/>
      <c r="AC30" s="231" t="s">
        <v>16</v>
      </c>
      <c r="AD30" s="231">
        <f>SUM(AD3:AD29)</f>
        <v>0</v>
      </c>
      <c r="AE30" s="163"/>
      <c r="AF30" s="232"/>
      <c r="AG30" s="24"/>
      <c r="AH30" s="233"/>
      <c r="AI30" s="165"/>
      <c r="AJ30" s="163"/>
      <c r="AK30" s="163"/>
      <c r="AL30" s="124"/>
      <c r="AM30" s="124"/>
      <c r="AN30" s="22"/>
      <c r="AR30" s="92"/>
      <c r="AS30" s="11"/>
      <c r="AT30" s="11"/>
      <c r="AU30" s="11"/>
      <c r="AV30" s="2"/>
      <c r="AW30" s="2"/>
      <c r="AY30" s="12"/>
      <c r="AZ30" s="2"/>
      <c r="BA30" s="12"/>
      <c r="BB30" s="2"/>
    </row>
    <row r="31" spans="1:54" ht="19.5" thickBot="1" x14ac:dyDescent="0.35">
      <c r="A31" s="166">
        <v>44648</v>
      </c>
      <c r="B31" s="234"/>
      <c r="C31" s="235"/>
      <c r="D31" s="236"/>
      <c r="E31" s="175"/>
      <c r="F31" s="170">
        <f t="shared" si="3"/>
        <v>0</v>
      </c>
      <c r="G31" s="171">
        <f t="shared" si="4"/>
        <v>0</v>
      </c>
      <c r="H31" s="179"/>
      <c r="I31" s="191"/>
      <c r="J31" s="237"/>
      <c r="K31" s="192">
        <f t="shared" si="0"/>
        <v>0</v>
      </c>
      <c r="L31" s="193">
        <f t="shared" si="1"/>
        <v>0</v>
      </c>
      <c r="M31" s="174"/>
      <c r="N31" s="194"/>
      <c r="O31" s="238">
        <f t="shared" si="5"/>
        <v>250</v>
      </c>
      <c r="P31" s="239" t="s">
        <v>9</v>
      </c>
      <c r="Q31" s="178"/>
      <c r="R31" s="179"/>
      <c r="S31" s="230"/>
      <c r="T31" s="222"/>
      <c r="U31" s="124"/>
      <c r="V31" s="124"/>
      <c r="W31" s="135"/>
      <c r="X31" s="24"/>
      <c r="Y31" s="160"/>
      <c r="Z31" s="161"/>
      <c r="AA31" s="24"/>
      <c r="AB31" s="24"/>
      <c r="AC31" s="163"/>
      <c r="AD31" s="163"/>
      <c r="AE31" s="163"/>
      <c r="AF31" s="24"/>
      <c r="AG31" s="24"/>
      <c r="AH31" s="233"/>
      <c r="AI31" s="165"/>
      <c r="AJ31" s="163"/>
      <c r="AK31" s="301"/>
      <c r="AL31" s="124"/>
      <c r="AM31" s="124"/>
      <c r="AN31" s="22"/>
      <c r="AR31" s="92"/>
      <c r="AS31" s="11"/>
      <c r="AT31" s="11"/>
      <c r="AU31" s="11"/>
      <c r="AV31" s="2"/>
      <c r="AW31" s="2"/>
      <c r="AY31" s="2"/>
      <c r="AZ31" s="2"/>
      <c r="BA31" s="12"/>
      <c r="BB31" s="2"/>
    </row>
    <row r="32" spans="1:54" ht="19.5" thickBot="1" x14ac:dyDescent="0.35">
      <c r="A32" s="166">
        <v>44649</v>
      </c>
      <c r="B32" s="190"/>
      <c r="C32" s="179"/>
      <c r="D32" s="179"/>
      <c r="E32" s="175"/>
      <c r="F32" s="170">
        <f t="shared" si="3"/>
        <v>0</v>
      </c>
      <c r="G32" s="171">
        <f t="shared" si="4"/>
        <v>0</v>
      </c>
      <c r="H32" s="179"/>
      <c r="I32" s="191"/>
      <c r="J32" s="175"/>
      <c r="K32" s="192">
        <f t="shared" si="0"/>
        <v>0</v>
      </c>
      <c r="L32" s="193">
        <f t="shared" si="1"/>
        <v>0</v>
      </c>
      <c r="M32" s="240"/>
      <c r="N32" s="194"/>
      <c r="O32" s="238">
        <f t="shared" si="5"/>
        <v>250</v>
      </c>
      <c r="P32" s="241" t="s">
        <v>10</v>
      </c>
      <c r="Q32" s="242"/>
      <c r="R32" s="179"/>
      <c r="S32" s="230"/>
      <c r="T32" s="222"/>
      <c r="U32" s="124"/>
      <c r="V32" s="124"/>
      <c r="W32" s="135"/>
      <c r="X32" s="24"/>
      <c r="Y32" s="160"/>
      <c r="Z32" s="161"/>
      <c r="AA32" s="182" t="s">
        <v>17</v>
      </c>
      <c r="AB32" s="24"/>
      <c r="AC32" s="244"/>
      <c r="AD32" s="244"/>
      <c r="AE32" s="163"/>
      <c r="AF32" s="24"/>
      <c r="AG32" s="24"/>
      <c r="AH32" s="233"/>
      <c r="AI32" s="165"/>
      <c r="AJ32" s="163"/>
      <c r="AK32" s="163"/>
      <c r="AL32" s="303" t="s">
        <v>31</v>
      </c>
      <c r="AM32" s="304"/>
      <c r="AN32" s="36"/>
      <c r="AR32" s="2"/>
      <c r="AS32" s="11"/>
      <c r="AT32" s="11"/>
      <c r="AU32" s="11"/>
      <c r="AV32" s="2"/>
      <c r="AW32" s="2"/>
      <c r="AY32" s="2"/>
      <c r="AZ32" s="2"/>
      <c r="BA32" s="2"/>
      <c r="BB32" s="2"/>
    </row>
    <row r="33" spans="1:54" ht="19.5" thickBot="1" x14ac:dyDescent="0.35">
      <c r="A33" s="166">
        <v>44650</v>
      </c>
      <c r="B33" s="245"/>
      <c r="C33" s="246"/>
      <c r="D33" s="246"/>
      <c r="E33" s="247"/>
      <c r="F33" s="170">
        <f t="shared" si="3"/>
        <v>0</v>
      </c>
      <c r="G33" s="171">
        <f t="shared" si="4"/>
        <v>0</v>
      </c>
      <c r="H33" s="248"/>
      <c r="I33" s="248"/>
      <c r="J33" s="247"/>
      <c r="K33" s="249">
        <f t="shared" si="0"/>
        <v>0</v>
      </c>
      <c r="L33" s="250">
        <f t="shared" si="1"/>
        <v>0</v>
      </c>
      <c r="M33" s="251"/>
      <c r="N33" s="252"/>
      <c r="O33" s="253">
        <f t="shared" si="5"/>
        <v>250</v>
      </c>
      <c r="P33" s="254">
        <f>SUM(O33)</f>
        <v>250</v>
      </c>
      <c r="Q33" s="255"/>
      <c r="R33" s="246"/>
      <c r="S33" s="256"/>
      <c r="T33" s="257"/>
      <c r="U33" s="124"/>
      <c r="V33" s="124"/>
      <c r="W33" s="135"/>
      <c r="X33" s="182">
        <v>1</v>
      </c>
      <c r="Y33" s="200"/>
      <c r="Z33" s="201"/>
      <c r="AA33" s="182"/>
      <c r="AB33" s="182"/>
      <c r="AC33" s="258"/>
      <c r="AD33" s="210"/>
      <c r="AE33" s="108">
        <f t="shared" ref="AE33:AE45" si="8">SUM(AC33:AD33)</f>
        <v>0</v>
      </c>
      <c r="AF33" s="182"/>
      <c r="AG33" s="182"/>
      <c r="AH33" s="202"/>
      <c r="AI33" s="203"/>
      <c r="AJ33" s="108">
        <f>AE33</f>
        <v>0</v>
      </c>
      <c r="AK33" s="163"/>
      <c r="AL33" s="258">
        <f t="shared" ref="AL33:AL63" si="9">AC33</f>
        <v>0</v>
      </c>
      <c r="AM33" s="305">
        <v>1</v>
      </c>
      <c r="AN33" s="16"/>
      <c r="AR33" s="92"/>
      <c r="AS33" s="11"/>
      <c r="AT33" s="11"/>
      <c r="AU33" s="11"/>
      <c r="AV33" s="2"/>
      <c r="AW33" s="2"/>
      <c r="AY33" s="2"/>
      <c r="AZ33" s="2"/>
      <c r="BA33" s="2"/>
      <c r="BB33" s="2"/>
    </row>
    <row r="34" spans="1:54" ht="19.5" thickBot="1" x14ac:dyDescent="0.35">
      <c r="A34" s="124"/>
      <c r="B34" s="259">
        <f>SUM(B5:B33)</f>
        <v>0</v>
      </c>
      <c r="C34" s="260">
        <f t="shared" ref="C34:N34" si="10">SUM(C3:C33)</f>
        <v>0</v>
      </c>
      <c r="D34" s="261">
        <f t="shared" si="10"/>
        <v>0</v>
      </c>
      <c r="E34" s="261">
        <f t="shared" si="10"/>
        <v>0</v>
      </c>
      <c r="F34" s="262">
        <f t="shared" si="10"/>
        <v>0</v>
      </c>
      <c r="G34" s="263"/>
      <c r="H34" s="263">
        <f>SUM(H3:H33)</f>
        <v>0</v>
      </c>
      <c r="I34" s="263"/>
      <c r="J34" s="263">
        <f t="shared" si="10"/>
        <v>0</v>
      </c>
      <c r="K34" s="264">
        <f t="shared" si="10"/>
        <v>0</v>
      </c>
      <c r="L34" s="265">
        <f t="shared" si="10"/>
        <v>0</v>
      </c>
      <c r="M34" s="266">
        <f t="shared" si="10"/>
        <v>0</v>
      </c>
      <c r="N34" s="267">
        <f t="shared" si="10"/>
        <v>0</v>
      </c>
      <c r="O34" s="135"/>
      <c r="P34" s="135"/>
      <c r="Q34" s="124"/>
      <c r="R34" s="135"/>
      <c r="S34" s="124"/>
      <c r="T34" s="124"/>
      <c r="U34" s="124"/>
      <c r="V34" s="124"/>
      <c r="W34" s="135"/>
      <c r="X34" s="182">
        <v>2</v>
      </c>
      <c r="Y34" s="217"/>
      <c r="Z34" s="201"/>
      <c r="AA34" s="182"/>
      <c r="AB34" s="182"/>
      <c r="AC34" s="258"/>
      <c r="AD34" s="210"/>
      <c r="AE34" s="108">
        <f t="shared" si="8"/>
        <v>0</v>
      </c>
      <c r="AF34" s="182"/>
      <c r="AG34" s="216"/>
      <c r="AH34" s="202"/>
      <c r="AI34" s="203"/>
      <c r="AJ34" s="108">
        <f>AE34</f>
        <v>0</v>
      </c>
      <c r="AK34" s="163"/>
      <c r="AL34" s="258">
        <f t="shared" si="9"/>
        <v>0</v>
      </c>
      <c r="AM34" s="221">
        <v>2</v>
      </c>
      <c r="AN34" s="16"/>
      <c r="AR34" s="2"/>
      <c r="AS34" s="11"/>
      <c r="AT34" s="11"/>
      <c r="AU34" s="11"/>
      <c r="AV34" s="2"/>
      <c r="AW34" s="2"/>
      <c r="AY34" s="2"/>
      <c r="AZ34" s="2"/>
      <c r="BA34" s="2"/>
      <c r="BB34" s="2"/>
    </row>
    <row r="35" spans="1:54" ht="19.5" thickBot="1" x14ac:dyDescent="0.35">
      <c r="A35" s="269" t="s">
        <v>15</v>
      </c>
      <c r="B35" s="270">
        <f>SUM(B3:B33)</f>
        <v>0</v>
      </c>
      <c r="C35" s="270">
        <f>SUM(C34/1.06)</f>
        <v>0</v>
      </c>
      <c r="D35" s="270">
        <f>SUM(D34/1.12)</f>
        <v>0</v>
      </c>
      <c r="E35" s="270">
        <f>SUM(E34/1.21)</f>
        <v>0</v>
      </c>
      <c r="F35" s="270">
        <f>SUM(B35:E35)</f>
        <v>0</v>
      </c>
      <c r="G35" s="271">
        <f>SUM(G34:G34)</f>
        <v>0</v>
      </c>
      <c r="H35" s="135"/>
      <c r="I35" s="135"/>
      <c r="J35" s="179"/>
      <c r="K35" s="272"/>
      <c r="L35" s="273" t="s">
        <v>82</v>
      </c>
      <c r="M35" s="274"/>
      <c r="N35" s="275">
        <f>SUM(M34:N34)</f>
        <v>0</v>
      </c>
      <c r="O35" s="135"/>
      <c r="P35" s="135"/>
      <c r="Q35" s="124"/>
      <c r="R35" s="135"/>
      <c r="S35" s="124"/>
      <c r="T35" s="124"/>
      <c r="U35" s="124"/>
      <c r="V35" s="124"/>
      <c r="W35" s="135"/>
      <c r="X35" s="182">
        <v>3</v>
      </c>
      <c r="Y35" s="200"/>
      <c r="Z35" s="201"/>
      <c r="AA35" s="182"/>
      <c r="AB35" s="182"/>
      <c r="AC35" s="258"/>
      <c r="AD35" s="210"/>
      <c r="AE35" s="108">
        <f t="shared" si="8"/>
        <v>0</v>
      </c>
      <c r="AF35" s="182"/>
      <c r="AG35" s="182"/>
      <c r="AH35" s="202"/>
      <c r="AI35" s="203"/>
      <c r="AJ35" s="108">
        <f>AE35</f>
        <v>0</v>
      </c>
      <c r="AK35" s="163"/>
      <c r="AL35" s="258">
        <f t="shared" si="9"/>
        <v>0</v>
      </c>
      <c r="AM35" s="221">
        <v>3</v>
      </c>
      <c r="AN35" s="16"/>
      <c r="AR35" s="2"/>
      <c r="AS35" s="11"/>
      <c r="AT35" s="11"/>
      <c r="AU35" s="11"/>
      <c r="AV35" s="12"/>
      <c r="AW35" s="2"/>
      <c r="AY35" s="2"/>
      <c r="AZ35" s="2"/>
      <c r="BA35" s="2"/>
      <c r="BB35" s="2"/>
    </row>
    <row r="36" spans="1:54" ht="18.75" x14ac:dyDescent="0.3">
      <c r="A36" s="269" t="s">
        <v>16</v>
      </c>
      <c r="B36" s="276"/>
      <c r="C36" s="270">
        <f>SUM(C34-C35)</f>
        <v>0</v>
      </c>
      <c r="D36" s="270">
        <f>SUM(D34-D35)</f>
        <v>0</v>
      </c>
      <c r="E36" s="270">
        <f>SUM(E34-E35)</f>
        <v>0</v>
      </c>
      <c r="F36" s="270">
        <f>SUM(C36:E36)</f>
        <v>0</v>
      </c>
      <c r="G36" s="135"/>
      <c r="H36" s="135"/>
      <c r="I36" s="135"/>
      <c r="J36" s="135"/>
      <c r="K36" s="135"/>
      <c r="L36" s="135"/>
      <c r="M36" s="135"/>
      <c r="N36" s="135"/>
      <c r="O36" s="135"/>
      <c r="P36" s="135"/>
      <c r="Q36" s="124"/>
      <c r="R36" s="135"/>
      <c r="S36" s="124"/>
      <c r="T36" s="124"/>
      <c r="U36" s="124"/>
      <c r="V36" s="124"/>
      <c r="W36" s="135"/>
      <c r="X36" s="182">
        <v>4</v>
      </c>
      <c r="Y36" s="204"/>
      <c r="Z36" s="205"/>
      <c r="AA36" s="206"/>
      <c r="AB36" s="206"/>
      <c r="AC36" s="277"/>
      <c r="AD36" s="187"/>
      <c r="AE36" s="187">
        <f t="shared" si="8"/>
        <v>0</v>
      </c>
      <c r="AF36" s="206"/>
      <c r="AG36" s="206"/>
      <c r="AH36" s="188"/>
      <c r="AI36" s="189"/>
      <c r="AJ36" s="187">
        <v>0</v>
      </c>
      <c r="AK36" s="306"/>
      <c r="AL36" s="258">
        <f t="shared" si="9"/>
        <v>0</v>
      </c>
      <c r="AM36" s="221">
        <v>4</v>
      </c>
      <c r="AN36" s="16"/>
      <c r="AR36" s="12"/>
      <c r="AS36" s="11"/>
      <c r="AT36" s="11"/>
      <c r="AU36" s="11"/>
      <c r="AV36" s="12"/>
      <c r="AW36" s="2"/>
      <c r="AY36" s="2"/>
      <c r="AZ36" s="2"/>
      <c r="BA36" s="2"/>
      <c r="BB36" s="2"/>
    </row>
    <row r="37" spans="1:54" ht="18.75" x14ac:dyDescent="0.3">
      <c r="A37" s="124"/>
      <c r="B37" s="124"/>
      <c r="C37" s="124"/>
      <c r="D37" s="124"/>
      <c r="E37" s="124"/>
      <c r="F37" s="124"/>
      <c r="G37" s="124"/>
      <c r="H37" s="124"/>
      <c r="I37" s="124"/>
      <c r="J37" s="124"/>
      <c r="K37" s="124"/>
      <c r="L37" s="124"/>
      <c r="M37" s="124"/>
      <c r="N37" s="124"/>
      <c r="O37" s="124"/>
      <c r="P37" s="124"/>
      <c r="Q37" s="159"/>
      <c r="R37" s="135"/>
      <c r="S37" s="124"/>
      <c r="T37" s="124"/>
      <c r="U37" s="124"/>
      <c r="V37" s="124"/>
      <c r="W37" s="135"/>
      <c r="X37" s="182">
        <v>5</v>
      </c>
      <c r="Y37" s="217"/>
      <c r="Z37" s="201"/>
      <c r="AA37" s="182"/>
      <c r="AB37" s="221"/>
      <c r="AC37" s="258"/>
      <c r="AD37" s="210"/>
      <c r="AE37" s="108">
        <f t="shared" si="8"/>
        <v>0</v>
      </c>
      <c r="AF37" s="182"/>
      <c r="AG37" s="216"/>
      <c r="AH37" s="202"/>
      <c r="AI37" s="203"/>
      <c r="AJ37" s="108">
        <f>AE37</f>
        <v>0</v>
      </c>
      <c r="AK37" s="301"/>
      <c r="AL37" s="258">
        <f t="shared" si="9"/>
        <v>0</v>
      </c>
      <c r="AM37" s="221">
        <v>5</v>
      </c>
      <c r="AN37" s="22"/>
      <c r="AR37" s="12"/>
      <c r="AS37" s="11"/>
      <c r="AT37" s="11"/>
      <c r="AU37" s="11"/>
      <c r="AV37" s="12"/>
      <c r="AW37" s="2"/>
    </row>
    <row r="38" spans="1:54" ht="18.75" x14ac:dyDescent="0.3">
      <c r="A38" s="124"/>
      <c r="B38" s="124"/>
      <c r="C38" s="124"/>
      <c r="D38" s="124"/>
      <c r="E38" s="124"/>
      <c r="F38" s="124"/>
      <c r="G38" s="124"/>
      <c r="H38" s="124"/>
      <c r="I38" s="124"/>
      <c r="J38" s="124"/>
      <c r="K38" s="124"/>
      <c r="L38" s="124"/>
      <c r="M38" s="124"/>
      <c r="N38" s="124"/>
      <c r="O38" s="124"/>
      <c r="P38" s="124"/>
      <c r="Q38" s="124"/>
      <c r="R38" s="135"/>
      <c r="S38" s="124"/>
      <c r="T38" s="124"/>
      <c r="U38" s="124"/>
      <c r="V38" s="124"/>
      <c r="W38" s="135"/>
      <c r="X38" s="182">
        <v>6</v>
      </c>
      <c r="Y38" s="204"/>
      <c r="Z38" s="205"/>
      <c r="AA38" s="206"/>
      <c r="AB38" s="206"/>
      <c r="AC38" s="277"/>
      <c r="AD38" s="187"/>
      <c r="AE38" s="187">
        <f t="shared" si="8"/>
        <v>0</v>
      </c>
      <c r="AF38" s="206"/>
      <c r="AG38" s="278"/>
      <c r="AH38" s="188"/>
      <c r="AI38" s="189"/>
      <c r="AJ38" s="187">
        <v>0</v>
      </c>
      <c r="AK38" s="301"/>
      <c r="AL38" s="258">
        <f t="shared" si="9"/>
        <v>0</v>
      </c>
      <c r="AM38" s="221">
        <v>6</v>
      </c>
      <c r="AN38" s="16"/>
      <c r="AR38" s="2"/>
      <c r="AS38" s="11"/>
      <c r="AT38" s="11"/>
      <c r="AU38" s="11"/>
      <c r="AV38" s="12"/>
      <c r="AW38" s="2"/>
      <c r="BA38" s="7"/>
    </row>
    <row r="39" spans="1:54" ht="18.75" x14ac:dyDescent="0.3">
      <c r="A39" s="124"/>
      <c r="B39" s="124"/>
      <c r="C39" s="124"/>
      <c r="D39" s="124"/>
      <c r="E39" s="124"/>
      <c r="F39" s="124"/>
      <c r="G39" s="124"/>
      <c r="H39" s="124"/>
      <c r="I39" s="124"/>
      <c r="J39" s="124"/>
      <c r="K39" s="124"/>
      <c r="L39" s="124"/>
      <c r="M39" s="124"/>
      <c r="N39" s="124"/>
      <c r="O39" s="124"/>
      <c r="P39" s="124"/>
      <c r="Q39" s="124"/>
      <c r="R39" s="135"/>
      <c r="S39" s="124"/>
      <c r="T39" s="124"/>
      <c r="U39" s="124"/>
      <c r="V39" s="124"/>
      <c r="W39" s="135"/>
      <c r="X39" s="182">
        <v>7</v>
      </c>
      <c r="Y39" s="200"/>
      <c r="Z39" s="201"/>
      <c r="AA39" s="182"/>
      <c r="AB39" s="182"/>
      <c r="AC39" s="277"/>
      <c r="AD39" s="108"/>
      <c r="AE39" s="108">
        <f t="shared" si="8"/>
        <v>0</v>
      </c>
      <c r="AF39" s="182"/>
      <c r="AG39" s="182"/>
      <c r="AH39" s="202"/>
      <c r="AI39" s="203"/>
      <c r="AJ39" s="108">
        <f t="shared" ref="AJ39:AJ45" si="11">AE39</f>
        <v>0</v>
      </c>
      <c r="AK39" s="301"/>
      <c r="AL39" s="258">
        <f t="shared" si="9"/>
        <v>0</v>
      </c>
      <c r="AM39" s="221">
        <v>7</v>
      </c>
      <c r="AN39" s="16"/>
      <c r="AR39" s="2"/>
      <c r="AS39" s="11"/>
      <c r="AT39" s="11"/>
      <c r="AU39" s="11"/>
      <c r="AV39" s="12"/>
      <c r="AW39" s="2"/>
      <c r="BA39" s="7"/>
    </row>
    <row r="40" spans="1:54" ht="18.75" x14ac:dyDescent="0.3">
      <c r="A40" s="124"/>
      <c r="B40" s="124"/>
      <c r="C40" s="124"/>
      <c r="D40" s="124"/>
      <c r="E40" s="124"/>
      <c r="F40" s="124"/>
      <c r="G40" s="124"/>
      <c r="H40" s="124"/>
      <c r="I40" s="124"/>
      <c r="J40" s="124"/>
      <c r="K40" s="124"/>
      <c r="L40" s="124"/>
      <c r="M40" s="124"/>
      <c r="N40" s="324"/>
      <c r="O40" s="324"/>
      <c r="P40" s="124"/>
      <c r="Q40" s="124"/>
      <c r="R40" s="135"/>
      <c r="S40" s="124"/>
      <c r="T40" s="124"/>
      <c r="U40" s="124"/>
      <c r="V40" s="124"/>
      <c r="W40" s="135"/>
      <c r="X40" s="182">
        <v>8</v>
      </c>
      <c r="Y40" s="200"/>
      <c r="Z40" s="201"/>
      <c r="AA40" s="182"/>
      <c r="AB40" s="182"/>
      <c r="AC40" s="258"/>
      <c r="AD40" s="210"/>
      <c r="AE40" s="108">
        <f t="shared" si="8"/>
        <v>0</v>
      </c>
      <c r="AF40" s="182"/>
      <c r="AG40" s="182"/>
      <c r="AH40" s="202"/>
      <c r="AI40" s="203"/>
      <c r="AJ40" s="108">
        <f t="shared" si="11"/>
        <v>0</v>
      </c>
      <c r="AK40" s="301"/>
      <c r="AL40" s="258">
        <f t="shared" si="9"/>
        <v>0</v>
      </c>
      <c r="AM40" s="221">
        <v>8</v>
      </c>
      <c r="AN40" s="16"/>
      <c r="AR40" s="2"/>
      <c r="AS40" s="11"/>
      <c r="AT40" s="11"/>
      <c r="AU40" s="11"/>
      <c r="AV40" s="12"/>
      <c r="AW40" s="2"/>
    </row>
    <row r="41" spans="1:54" ht="18.75" x14ac:dyDescent="0.3">
      <c r="A41" s="124"/>
      <c r="B41" s="124"/>
      <c r="C41" s="124"/>
      <c r="D41" s="124"/>
      <c r="E41" s="124"/>
      <c r="F41" s="124"/>
      <c r="G41" s="124"/>
      <c r="H41" s="124"/>
      <c r="I41" s="124"/>
      <c r="J41" s="124"/>
      <c r="K41" s="124"/>
      <c r="L41" s="124"/>
      <c r="M41" s="124"/>
      <c r="N41" s="324"/>
      <c r="O41" s="324"/>
      <c r="P41" s="124"/>
      <c r="Q41" s="124"/>
      <c r="R41" s="135"/>
      <c r="S41" s="124"/>
      <c r="T41" s="124"/>
      <c r="U41" s="124"/>
      <c r="V41" s="124"/>
      <c r="W41" s="135"/>
      <c r="X41" s="182">
        <v>9</v>
      </c>
      <c r="Y41" s="200"/>
      <c r="Z41" s="201"/>
      <c r="AA41" s="182"/>
      <c r="AB41" s="182"/>
      <c r="AC41" s="277"/>
      <c r="AD41" s="108"/>
      <c r="AE41" s="108">
        <f t="shared" si="8"/>
        <v>0</v>
      </c>
      <c r="AF41" s="182"/>
      <c r="AG41" s="182"/>
      <c r="AH41" s="202"/>
      <c r="AI41" s="203"/>
      <c r="AJ41" s="108">
        <f t="shared" si="11"/>
        <v>0</v>
      </c>
      <c r="AK41" s="301"/>
      <c r="AL41" s="258">
        <f t="shared" si="9"/>
        <v>0</v>
      </c>
      <c r="AM41" s="221">
        <v>9</v>
      </c>
      <c r="AN41" s="16"/>
      <c r="AR41" s="2"/>
      <c r="AS41" s="11"/>
      <c r="AT41" s="11"/>
      <c r="AU41" s="11"/>
      <c r="AV41" s="12"/>
      <c r="AW41" s="2"/>
    </row>
    <row r="42" spans="1:54" ht="18.75" x14ac:dyDescent="0.3">
      <c r="A42" s="124"/>
      <c r="B42" s="124"/>
      <c r="C42" s="124"/>
      <c r="D42" s="124"/>
      <c r="E42" s="124"/>
      <c r="F42" s="124"/>
      <c r="G42" s="124"/>
      <c r="H42" s="124"/>
      <c r="I42" s="124" t="s">
        <v>14</v>
      </c>
      <c r="J42" s="124"/>
      <c r="K42" s="124"/>
      <c r="L42" s="124"/>
      <c r="M42" s="124"/>
      <c r="N42" s="324"/>
      <c r="O42" s="324"/>
      <c r="P42" s="124"/>
      <c r="Q42" s="124"/>
      <c r="R42" s="135"/>
      <c r="S42" s="124"/>
      <c r="T42" s="124"/>
      <c r="U42" s="124"/>
      <c r="V42" s="124"/>
      <c r="W42" s="135"/>
      <c r="X42" s="182">
        <v>10</v>
      </c>
      <c r="Y42" s="200"/>
      <c r="Z42" s="201"/>
      <c r="AA42" s="182"/>
      <c r="AB42" s="182"/>
      <c r="AC42" s="258"/>
      <c r="AD42" s="210"/>
      <c r="AE42" s="108">
        <f t="shared" si="8"/>
        <v>0</v>
      </c>
      <c r="AF42" s="182"/>
      <c r="AG42" s="182"/>
      <c r="AH42" s="202"/>
      <c r="AI42" s="203"/>
      <c r="AJ42" s="108">
        <f t="shared" si="11"/>
        <v>0</v>
      </c>
      <c r="AK42" s="163"/>
      <c r="AL42" s="258">
        <f t="shared" si="9"/>
        <v>0</v>
      </c>
      <c r="AM42" s="221">
        <v>10</v>
      </c>
      <c r="AN42" s="16"/>
      <c r="AR42" s="2"/>
      <c r="AS42" s="11"/>
      <c r="AT42" s="11"/>
      <c r="AU42" s="11"/>
      <c r="AV42" s="2"/>
      <c r="AW42" s="2"/>
    </row>
    <row r="43" spans="1:54" ht="15.75" x14ac:dyDescent="0.25">
      <c r="A43" s="124"/>
      <c r="B43" s="124"/>
      <c r="C43" s="279"/>
      <c r="D43" s="279"/>
      <c r="E43" s="124"/>
      <c r="F43" s="124"/>
      <c r="G43" s="124"/>
      <c r="H43" s="124"/>
      <c r="I43" s="124"/>
      <c r="J43" s="124"/>
      <c r="K43" s="124"/>
      <c r="L43" s="124"/>
      <c r="M43" s="124"/>
      <c r="N43" s="324"/>
      <c r="O43" s="325"/>
      <c r="P43" s="124"/>
      <c r="Q43" s="124"/>
      <c r="R43" s="135"/>
      <c r="S43" s="124"/>
      <c r="T43" s="124"/>
      <c r="U43" s="124"/>
      <c r="V43" s="124"/>
      <c r="W43" s="135"/>
      <c r="X43" s="182">
        <v>11</v>
      </c>
      <c r="Y43" s="200"/>
      <c r="Z43" s="201"/>
      <c r="AA43" s="182"/>
      <c r="AB43" s="182"/>
      <c r="AC43" s="258"/>
      <c r="AD43" s="210"/>
      <c r="AE43" s="108">
        <f t="shared" si="8"/>
        <v>0</v>
      </c>
      <c r="AF43" s="182"/>
      <c r="AG43" s="182"/>
      <c r="AH43" s="202"/>
      <c r="AI43" s="203"/>
      <c r="AJ43" s="108">
        <f t="shared" si="11"/>
        <v>0</v>
      </c>
      <c r="AK43" s="23"/>
      <c r="AL43" s="258">
        <f t="shared" si="9"/>
        <v>0</v>
      </c>
      <c r="AM43" s="221">
        <v>11</v>
      </c>
      <c r="AN43" s="38"/>
      <c r="AR43" s="2"/>
      <c r="AS43" s="11"/>
      <c r="AT43" s="11"/>
      <c r="AU43" s="11"/>
      <c r="AV43" s="2"/>
    </row>
    <row r="44" spans="1:54" ht="15.75" x14ac:dyDescent="0.25">
      <c r="A44" s="124"/>
      <c r="B44" s="124"/>
      <c r="C44" s="124"/>
      <c r="D44" s="124"/>
      <c r="E44" s="124"/>
      <c r="F44" s="124"/>
      <c r="G44" s="124"/>
      <c r="H44" s="124"/>
      <c r="I44" s="124"/>
      <c r="J44" s="135"/>
      <c r="K44" s="124"/>
      <c r="L44" s="124"/>
      <c r="M44" s="124"/>
      <c r="N44" s="324"/>
      <c r="O44" s="324"/>
      <c r="P44" s="124"/>
      <c r="Q44" s="124"/>
      <c r="R44" s="135"/>
      <c r="S44" s="124"/>
      <c r="T44" s="124"/>
      <c r="U44" s="124"/>
      <c r="V44" s="124"/>
      <c r="W44" s="135"/>
      <c r="X44" s="182">
        <v>12</v>
      </c>
      <c r="Y44" s="200"/>
      <c r="Z44" s="201"/>
      <c r="AA44" s="221"/>
      <c r="AB44" s="182"/>
      <c r="AC44" s="258"/>
      <c r="AD44" s="210"/>
      <c r="AE44" s="108">
        <f t="shared" si="8"/>
        <v>0</v>
      </c>
      <c r="AF44" s="182"/>
      <c r="AG44" s="182"/>
      <c r="AH44" s="202"/>
      <c r="AI44" s="203"/>
      <c r="AJ44" s="108">
        <f t="shared" si="11"/>
        <v>0</v>
      </c>
      <c r="AK44" s="25"/>
      <c r="AL44" s="258">
        <f t="shared" si="9"/>
        <v>0</v>
      </c>
      <c r="AM44" s="221">
        <v>12</v>
      </c>
      <c r="AN44" s="28"/>
      <c r="AR44" s="2"/>
      <c r="AS44" s="11"/>
      <c r="AT44" s="11"/>
      <c r="AU44" s="11"/>
      <c r="AV44" s="2"/>
    </row>
    <row r="45" spans="1:54" ht="15.75" x14ac:dyDescent="0.25">
      <c r="A45" s="135"/>
      <c r="B45" s="135"/>
      <c r="C45" s="135"/>
      <c r="D45" s="135"/>
      <c r="E45" s="135"/>
      <c r="F45" s="135"/>
      <c r="G45" s="135"/>
      <c r="H45" s="135"/>
      <c r="I45" s="135"/>
      <c r="J45" s="135"/>
      <c r="K45" s="135"/>
      <c r="L45" s="135"/>
      <c r="M45" s="135"/>
      <c r="N45" s="326"/>
      <c r="O45" s="327"/>
      <c r="P45" s="135"/>
      <c r="Q45" s="124"/>
      <c r="R45" s="135"/>
      <c r="S45" s="124"/>
      <c r="T45" s="124"/>
      <c r="U45" s="124"/>
      <c r="V45" s="124"/>
      <c r="W45" s="135"/>
      <c r="X45" s="182">
        <v>13</v>
      </c>
      <c r="Y45" s="200"/>
      <c r="Z45" s="201"/>
      <c r="AA45" s="182"/>
      <c r="AB45" s="182"/>
      <c r="AC45" s="258"/>
      <c r="AD45" s="210"/>
      <c r="AE45" s="108">
        <f t="shared" si="8"/>
        <v>0</v>
      </c>
      <c r="AF45" s="182"/>
      <c r="AG45" s="208"/>
      <c r="AH45" s="202"/>
      <c r="AI45" s="203"/>
      <c r="AJ45" s="108">
        <f t="shared" si="11"/>
        <v>0</v>
      </c>
      <c r="AK45" s="25"/>
      <c r="AL45" s="258">
        <f t="shared" si="9"/>
        <v>0</v>
      </c>
      <c r="AM45" s="221">
        <v>13</v>
      </c>
      <c r="AN45" s="32"/>
      <c r="AR45" s="2"/>
      <c r="AS45" s="11"/>
      <c r="AT45" s="11"/>
      <c r="AU45" s="11"/>
      <c r="AV45" s="2"/>
    </row>
    <row r="46" spans="1:54" ht="18.75" x14ac:dyDescent="0.3">
      <c r="A46" s="135"/>
      <c r="B46" s="135"/>
      <c r="C46" s="135"/>
      <c r="D46" s="135"/>
      <c r="E46" s="135"/>
      <c r="F46" s="135"/>
      <c r="G46" s="135"/>
      <c r="H46" s="135"/>
      <c r="I46" s="135"/>
      <c r="J46" s="124"/>
      <c r="K46" s="135"/>
      <c r="L46" s="135"/>
      <c r="M46" s="135"/>
      <c r="N46" s="135"/>
      <c r="O46" s="135"/>
      <c r="P46" s="135" t="s">
        <v>14</v>
      </c>
      <c r="Q46" s="124"/>
      <c r="R46" s="135"/>
      <c r="S46" s="124"/>
      <c r="T46" s="124"/>
      <c r="U46" s="124"/>
      <c r="V46" s="124"/>
      <c r="W46" s="135"/>
      <c r="X46" s="182">
        <v>14</v>
      </c>
      <c r="Y46" s="200"/>
      <c r="Z46" s="201"/>
      <c r="AA46" s="182"/>
      <c r="AB46" s="182"/>
      <c r="AC46" s="258"/>
      <c r="AD46" s="210"/>
      <c r="AE46" s="108">
        <f t="shared" ref="AE46:AE62" si="12">SUM(AC46:AD46)</f>
        <v>0</v>
      </c>
      <c r="AF46" s="182"/>
      <c r="AG46" s="226"/>
      <c r="AH46" s="202"/>
      <c r="AI46" s="203"/>
      <c r="AJ46" s="108">
        <f t="shared" ref="AJ46:AJ62" si="13">AE46</f>
        <v>0</v>
      </c>
      <c r="AK46" s="163"/>
      <c r="AL46" s="258">
        <f t="shared" si="9"/>
        <v>0</v>
      </c>
      <c r="AM46" s="221">
        <v>14</v>
      </c>
      <c r="AN46" s="34"/>
      <c r="AR46" s="2"/>
      <c r="AS46" s="11"/>
      <c r="AT46" s="11"/>
      <c r="AU46" s="11"/>
      <c r="AV46" s="2"/>
    </row>
    <row r="47" spans="1:54" ht="15.75" x14ac:dyDescent="0.25">
      <c r="A47" s="280"/>
      <c r="B47" s="135"/>
      <c r="C47" s="135"/>
      <c r="D47" s="135"/>
      <c r="E47" s="135"/>
      <c r="F47" s="281"/>
      <c r="G47" s="135"/>
      <c r="H47" s="135"/>
      <c r="I47" s="135"/>
      <c r="J47" s="135"/>
      <c r="K47" s="135"/>
      <c r="L47" s="135"/>
      <c r="M47" s="135"/>
      <c r="N47" s="135"/>
      <c r="O47" s="135"/>
      <c r="P47" s="135"/>
      <c r="Q47" s="124"/>
      <c r="R47" s="135"/>
      <c r="S47" s="124"/>
      <c r="T47" s="124"/>
      <c r="U47" s="124"/>
      <c r="V47" s="124"/>
      <c r="W47" s="135"/>
      <c r="X47" s="182">
        <v>15</v>
      </c>
      <c r="Y47" s="200"/>
      <c r="Z47" s="201"/>
      <c r="AA47" s="182"/>
      <c r="AB47" s="228"/>
      <c r="AC47" s="258"/>
      <c r="AD47" s="210"/>
      <c r="AE47" s="108">
        <f t="shared" si="12"/>
        <v>0</v>
      </c>
      <c r="AF47" s="182"/>
      <c r="AG47" s="182"/>
      <c r="AH47" s="202"/>
      <c r="AI47" s="203"/>
      <c r="AJ47" s="108">
        <f t="shared" si="13"/>
        <v>0</v>
      </c>
      <c r="AK47" s="23"/>
      <c r="AL47" s="258">
        <f t="shared" si="9"/>
        <v>0</v>
      </c>
      <c r="AM47" s="221">
        <v>15</v>
      </c>
      <c r="AN47" s="24"/>
      <c r="BA47" s="7"/>
    </row>
    <row r="48" spans="1:54" ht="15.75" x14ac:dyDescent="0.25">
      <c r="A48" s="280"/>
      <c r="B48" s="135"/>
      <c r="C48" s="135"/>
      <c r="D48" s="135"/>
      <c r="E48" s="135"/>
      <c r="F48" s="135"/>
      <c r="G48" s="135"/>
      <c r="H48" s="135"/>
      <c r="I48" s="135"/>
      <c r="J48" s="135"/>
      <c r="K48" s="135"/>
      <c r="L48" s="135"/>
      <c r="M48" s="135"/>
      <c r="N48" s="135"/>
      <c r="O48" s="135"/>
      <c r="P48" s="135"/>
      <c r="Q48" s="124"/>
      <c r="R48" s="135"/>
      <c r="S48" s="124"/>
      <c r="T48" s="124"/>
      <c r="U48" s="124"/>
      <c r="V48" s="124"/>
      <c r="W48" s="135"/>
      <c r="X48" s="182">
        <v>16</v>
      </c>
      <c r="Y48" s="200"/>
      <c r="Z48" s="201"/>
      <c r="AA48" s="182"/>
      <c r="AB48" s="182"/>
      <c r="AC48" s="258"/>
      <c r="AD48" s="210"/>
      <c r="AE48" s="108">
        <f t="shared" si="12"/>
        <v>0</v>
      </c>
      <c r="AF48" s="182"/>
      <c r="AG48" s="182"/>
      <c r="AH48" s="202"/>
      <c r="AI48" s="203"/>
      <c r="AJ48" s="108">
        <f t="shared" si="13"/>
        <v>0</v>
      </c>
      <c r="AK48" s="23"/>
      <c r="AL48" s="258">
        <f t="shared" si="9"/>
        <v>0</v>
      </c>
      <c r="AM48" s="221">
        <v>16</v>
      </c>
      <c r="AN48" s="24"/>
      <c r="AY48" s="7"/>
      <c r="BA48" s="7"/>
    </row>
    <row r="49" spans="1:54" ht="18.75" x14ac:dyDescent="0.3">
      <c r="A49" s="280"/>
      <c r="B49" s="135"/>
      <c r="C49" s="135"/>
      <c r="D49" s="135"/>
      <c r="E49" s="135"/>
      <c r="F49" s="281"/>
      <c r="G49" s="135"/>
      <c r="H49" s="135"/>
      <c r="I49" s="135"/>
      <c r="J49" s="135"/>
      <c r="K49" s="135"/>
      <c r="L49" s="135"/>
      <c r="M49" s="135"/>
      <c r="N49" s="135"/>
      <c r="O49" s="135"/>
      <c r="P49" s="135"/>
      <c r="Q49" s="124"/>
      <c r="R49" s="135"/>
      <c r="S49" s="124"/>
      <c r="T49" s="124"/>
      <c r="U49" s="124"/>
      <c r="V49" s="124"/>
      <c r="W49" s="135"/>
      <c r="X49" s="182">
        <v>17</v>
      </c>
      <c r="Y49" s="223"/>
      <c r="Z49" s="224"/>
      <c r="AA49" s="208"/>
      <c r="AB49" s="208"/>
      <c r="AC49" s="277"/>
      <c r="AD49" s="108"/>
      <c r="AE49" s="108">
        <f t="shared" si="12"/>
        <v>0</v>
      </c>
      <c r="AF49" s="208"/>
      <c r="AG49" s="208"/>
      <c r="AH49" s="202"/>
      <c r="AI49" s="203"/>
      <c r="AJ49" s="108">
        <f t="shared" si="13"/>
        <v>0</v>
      </c>
      <c r="AK49" s="163"/>
      <c r="AL49" s="258">
        <f t="shared" si="9"/>
        <v>0</v>
      </c>
      <c r="AM49" s="221">
        <v>17</v>
      </c>
      <c r="AN49" s="22"/>
      <c r="AY49" s="7"/>
      <c r="BA49" s="7"/>
    </row>
    <row r="50" spans="1:54" ht="18.75" x14ac:dyDescent="0.3">
      <c r="A50" s="280"/>
      <c r="B50" s="135"/>
      <c r="C50" s="135"/>
      <c r="D50" s="135"/>
      <c r="E50" s="135"/>
      <c r="F50" s="281"/>
      <c r="G50" s="135"/>
      <c r="H50" s="135"/>
      <c r="I50" s="135"/>
      <c r="J50" s="135"/>
      <c r="K50" s="135"/>
      <c r="L50" s="135"/>
      <c r="M50" s="135"/>
      <c r="N50" s="135"/>
      <c r="O50" s="135"/>
      <c r="P50" s="135"/>
      <c r="Q50" s="124"/>
      <c r="R50" s="135"/>
      <c r="S50" s="124"/>
      <c r="T50" s="124"/>
      <c r="U50" s="124"/>
      <c r="V50" s="124"/>
      <c r="W50" s="135"/>
      <c r="X50" s="182">
        <v>18</v>
      </c>
      <c r="Y50" s="200"/>
      <c r="Z50" s="201"/>
      <c r="AA50" s="182"/>
      <c r="AB50" s="182"/>
      <c r="AC50" s="277"/>
      <c r="AD50" s="108"/>
      <c r="AE50" s="108">
        <f t="shared" si="12"/>
        <v>0</v>
      </c>
      <c r="AF50" s="182"/>
      <c r="AG50" s="216"/>
      <c r="AH50" s="202"/>
      <c r="AI50" s="203"/>
      <c r="AJ50" s="108">
        <f t="shared" si="13"/>
        <v>0</v>
      </c>
      <c r="AK50" s="163"/>
      <c r="AL50" s="258">
        <f t="shared" si="9"/>
        <v>0</v>
      </c>
      <c r="AM50" s="221">
        <v>18</v>
      </c>
      <c r="AN50" s="22"/>
      <c r="AY50" s="2"/>
    </row>
    <row r="51" spans="1:54" ht="18.75" x14ac:dyDescent="0.3">
      <c r="A51" s="280"/>
      <c r="B51" s="135"/>
      <c r="C51" s="135"/>
      <c r="D51" s="135"/>
      <c r="E51" s="135"/>
      <c r="F51" s="281"/>
      <c r="G51" s="135"/>
      <c r="H51" s="135"/>
      <c r="I51" s="135"/>
      <c r="J51" s="135"/>
      <c r="K51" s="135"/>
      <c r="L51" s="135"/>
      <c r="M51" s="135"/>
      <c r="N51" s="135"/>
      <c r="O51" s="135"/>
      <c r="P51" s="135"/>
      <c r="Q51" s="124"/>
      <c r="R51" s="135"/>
      <c r="S51" s="124"/>
      <c r="T51" s="124"/>
      <c r="U51" s="124"/>
      <c r="V51" s="124"/>
      <c r="W51" s="135"/>
      <c r="X51" s="182">
        <v>19</v>
      </c>
      <c r="Y51" s="200"/>
      <c r="Z51" s="201"/>
      <c r="AA51" s="182"/>
      <c r="AB51" s="221"/>
      <c r="AC51" s="277"/>
      <c r="AD51" s="108"/>
      <c r="AE51" s="108">
        <f t="shared" si="12"/>
        <v>0</v>
      </c>
      <c r="AF51" s="182"/>
      <c r="AG51" s="182"/>
      <c r="AH51" s="202"/>
      <c r="AI51" s="203"/>
      <c r="AJ51" s="108">
        <f t="shared" si="13"/>
        <v>0</v>
      </c>
      <c r="AK51" s="163"/>
      <c r="AL51" s="258">
        <f t="shared" si="9"/>
        <v>0</v>
      </c>
      <c r="AM51" s="221">
        <v>19</v>
      </c>
      <c r="AN51" s="22"/>
      <c r="AR51" s="2"/>
      <c r="AS51" s="2"/>
      <c r="AT51" s="2"/>
      <c r="AU51" s="2"/>
      <c r="AV51" s="2"/>
      <c r="AY51" s="2"/>
      <c r="AZ51" s="2"/>
      <c r="BA51" s="2"/>
      <c r="BB51" s="2"/>
    </row>
    <row r="52" spans="1:54" ht="18.75" x14ac:dyDescent="0.3">
      <c r="A52" s="280"/>
      <c r="B52" s="135"/>
      <c r="C52" s="135"/>
      <c r="D52" s="135"/>
      <c r="E52" s="135"/>
      <c r="F52" s="135"/>
      <c r="G52" s="135"/>
      <c r="H52" s="135"/>
      <c r="I52" s="135"/>
      <c r="J52" s="135"/>
      <c r="K52" s="135"/>
      <c r="L52" s="135"/>
      <c r="M52" s="135"/>
      <c r="N52" s="135"/>
      <c r="O52" s="135"/>
      <c r="P52" s="135"/>
      <c r="Q52" s="124"/>
      <c r="R52" s="135"/>
      <c r="S52" s="124"/>
      <c r="T52" s="124"/>
      <c r="U52" s="124"/>
      <c r="V52" s="124"/>
      <c r="W52" s="135"/>
      <c r="X52" s="182">
        <v>20</v>
      </c>
      <c r="Y52" s="200"/>
      <c r="Z52" s="201"/>
      <c r="AA52" s="182"/>
      <c r="AB52" s="182"/>
      <c r="AC52" s="277"/>
      <c r="AD52" s="108"/>
      <c r="AE52" s="108">
        <f t="shared" si="12"/>
        <v>0</v>
      </c>
      <c r="AF52" s="182"/>
      <c r="AG52" s="182"/>
      <c r="AH52" s="202"/>
      <c r="AI52" s="203"/>
      <c r="AJ52" s="108">
        <f t="shared" si="13"/>
        <v>0</v>
      </c>
      <c r="AK52" s="163"/>
      <c r="AL52" s="258">
        <f t="shared" si="9"/>
        <v>0</v>
      </c>
      <c r="AM52" s="221">
        <v>20</v>
      </c>
      <c r="AN52" s="22"/>
      <c r="AR52" s="92"/>
      <c r="AS52" s="11"/>
      <c r="AT52" s="11"/>
      <c r="AU52" s="2"/>
      <c r="AV52" s="2"/>
      <c r="AY52" s="2"/>
      <c r="AZ52" s="2"/>
      <c r="BA52" s="12"/>
      <c r="BB52" s="2"/>
    </row>
    <row r="53" spans="1:54" ht="18.75" x14ac:dyDescent="0.3">
      <c r="A53" s="280"/>
      <c r="B53" s="135"/>
      <c r="C53" s="135"/>
      <c r="D53" s="135"/>
      <c r="E53" s="135"/>
      <c r="F53" s="135"/>
      <c r="G53" s="135"/>
      <c r="H53" s="135"/>
      <c r="I53" s="135"/>
      <c r="J53" s="135"/>
      <c r="K53" s="135"/>
      <c r="L53" s="135"/>
      <c r="M53" s="135"/>
      <c r="N53" s="135"/>
      <c r="O53" s="135"/>
      <c r="P53" s="135"/>
      <c r="Q53" s="124"/>
      <c r="R53" s="135"/>
      <c r="S53" s="124"/>
      <c r="T53" s="124"/>
      <c r="U53" s="124"/>
      <c r="V53" s="124"/>
      <c r="W53" s="135"/>
      <c r="X53" s="182">
        <v>21</v>
      </c>
      <c r="Y53" s="200"/>
      <c r="Z53" s="201"/>
      <c r="AA53" s="182"/>
      <c r="AB53" s="225"/>
      <c r="AC53" s="277"/>
      <c r="AD53" s="108"/>
      <c r="AE53" s="108">
        <f t="shared" si="12"/>
        <v>0</v>
      </c>
      <c r="AF53" s="182"/>
      <c r="AG53" s="182"/>
      <c r="AH53" s="202"/>
      <c r="AI53" s="203"/>
      <c r="AJ53" s="108">
        <f t="shared" si="13"/>
        <v>0</v>
      </c>
      <c r="AK53" s="163"/>
      <c r="AL53" s="258">
        <f t="shared" si="9"/>
        <v>0</v>
      </c>
      <c r="AM53" s="221">
        <v>21</v>
      </c>
      <c r="AN53" s="16"/>
      <c r="AR53" s="92"/>
      <c r="AS53" s="11"/>
      <c r="AT53" s="11"/>
      <c r="AU53" s="2"/>
      <c r="AV53" s="2"/>
      <c r="AY53" s="12"/>
      <c r="AZ53" s="2"/>
      <c r="BA53" s="12"/>
      <c r="BB53" s="2"/>
    </row>
    <row r="54" spans="1:54" ht="18.75" x14ac:dyDescent="0.3">
      <c r="A54" s="280"/>
      <c r="B54" s="135"/>
      <c r="C54" s="135"/>
      <c r="D54" s="135"/>
      <c r="E54" s="135"/>
      <c r="F54" s="135"/>
      <c r="G54" s="135"/>
      <c r="H54" s="135"/>
      <c r="I54" s="135"/>
      <c r="J54" s="135"/>
      <c r="K54" s="135"/>
      <c r="L54" s="135"/>
      <c r="M54" s="135"/>
      <c r="N54" s="135"/>
      <c r="O54" s="135"/>
      <c r="P54" s="135"/>
      <c r="Q54" s="124"/>
      <c r="R54" s="135"/>
      <c r="S54" s="124"/>
      <c r="T54" s="124"/>
      <c r="U54" s="124"/>
      <c r="V54" s="124"/>
      <c r="W54" s="135"/>
      <c r="X54" s="182">
        <v>22</v>
      </c>
      <c r="Y54" s="200"/>
      <c r="Z54" s="201"/>
      <c r="AA54" s="182"/>
      <c r="AB54" s="182"/>
      <c r="AC54" s="277"/>
      <c r="AD54" s="108"/>
      <c r="AE54" s="108">
        <f t="shared" si="12"/>
        <v>0</v>
      </c>
      <c r="AF54" s="182"/>
      <c r="AG54" s="182"/>
      <c r="AH54" s="202"/>
      <c r="AI54" s="203"/>
      <c r="AJ54" s="108">
        <f t="shared" si="13"/>
        <v>0</v>
      </c>
      <c r="AK54" s="163"/>
      <c r="AL54" s="258">
        <f t="shared" si="9"/>
        <v>0</v>
      </c>
      <c r="AM54" s="221">
        <v>22</v>
      </c>
      <c r="AN54" s="22"/>
      <c r="AR54" s="92"/>
      <c r="AS54" s="11"/>
      <c r="AT54" s="11"/>
      <c r="AU54" s="2"/>
      <c r="AV54" s="2"/>
      <c r="AY54" s="12"/>
      <c r="AZ54" s="2"/>
      <c r="BA54" s="12"/>
      <c r="BB54" s="2"/>
    </row>
    <row r="55" spans="1:54" ht="18.75" x14ac:dyDescent="0.3">
      <c r="A55" s="280"/>
      <c r="B55" s="135"/>
      <c r="C55" s="135"/>
      <c r="D55" s="135"/>
      <c r="E55" s="135"/>
      <c r="F55" s="135"/>
      <c r="G55" s="135"/>
      <c r="H55" s="135"/>
      <c r="I55" s="135"/>
      <c r="J55" s="135"/>
      <c r="K55" s="135"/>
      <c r="L55" s="135"/>
      <c r="M55" s="135"/>
      <c r="N55" s="135"/>
      <c r="O55" s="135"/>
      <c r="P55" s="135"/>
      <c r="Q55" s="124"/>
      <c r="R55" s="135"/>
      <c r="S55" s="124"/>
      <c r="T55" s="124"/>
      <c r="U55" s="124"/>
      <c r="V55" s="124"/>
      <c r="W55" s="135"/>
      <c r="X55" s="182">
        <v>23</v>
      </c>
      <c r="Y55" s="217"/>
      <c r="Z55" s="201"/>
      <c r="AA55" s="182"/>
      <c r="AB55" s="221"/>
      <c r="AC55" s="277"/>
      <c r="AD55" s="108"/>
      <c r="AE55" s="108">
        <f t="shared" si="12"/>
        <v>0</v>
      </c>
      <c r="AF55" s="182"/>
      <c r="AG55" s="216"/>
      <c r="AH55" s="202"/>
      <c r="AI55" s="203"/>
      <c r="AJ55" s="108">
        <f t="shared" si="13"/>
        <v>0</v>
      </c>
      <c r="AK55" s="163"/>
      <c r="AL55" s="258">
        <f t="shared" si="9"/>
        <v>0</v>
      </c>
      <c r="AM55" s="221">
        <v>23</v>
      </c>
      <c r="AN55" s="22"/>
      <c r="AR55" s="92"/>
      <c r="AS55" s="2"/>
      <c r="AT55" s="2"/>
      <c r="AU55" s="2"/>
      <c r="AV55" s="2"/>
      <c r="AY55" s="2"/>
      <c r="AZ55" s="2"/>
      <c r="BA55" s="12"/>
      <c r="BB55" s="2"/>
    </row>
    <row r="56" spans="1:54" ht="18.75" x14ac:dyDescent="0.3">
      <c r="A56" s="280"/>
      <c r="B56" s="135"/>
      <c r="C56" s="135"/>
      <c r="D56" s="135"/>
      <c r="E56" s="135"/>
      <c r="F56" s="135"/>
      <c r="G56" s="135"/>
      <c r="H56" s="135"/>
      <c r="I56" s="135"/>
      <c r="J56" s="135"/>
      <c r="K56" s="135"/>
      <c r="L56" s="135"/>
      <c r="M56" s="135"/>
      <c r="N56" s="135"/>
      <c r="O56" s="135"/>
      <c r="P56" s="135"/>
      <c r="Q56" s="124"/>
      <c r="R56" s="135"/>
      <c r="S56" s="124"/>
      <c r="T56" s="124"/>
      <c r="U56" s="124"/>
      <c r="V56" s="124"/>
      <c r="W56" s="135"/>
      <c r="X56" s="182">
        <v>24</v>
      </c>
      <c r="Y56" s="200"/>
      <c r="Z56" s="201"/>
      <c r="AA56" s="182"/>
      <c r="AB56" s="182"/>
      <c r="AC56" s="277"/>
      <c r="AD56" s="108"/>
      <c r="AE56" s="108">
        <f t="shared" si="12"/>
        <v>0</v>
      </c>
      <c r="AF56" s="182"/>
      <c r="AG56" s="182"/>
      <c r="AH56" s="202"/>
      <c r="AI56" s="203"/>
      <c r="AJ56" s="108">
        <f t="shared" si="13"/>
        <v>0</v>
      </c>
      <c r="AK56" s="301"/>
      <c r="AL56" s="258">
        <f t="shared" si="9"/>
        <v>0</v>
      </c>
      <c r="AM56" s="221">
        <v>24</v>
      </c>
      <c r="AN56" s="22"/>
      <c r="AR56" s="2"/>
      <c r="AS56" s="2"/>
      <c r="AT56" s="2"/>
      <c r="AU56" s="2"/>
      <c r="AV56" s="2"/>
      <c r="AY56" s="2"/>
      <c r="AZ56" s="2"/>
      <c r="BA56" s="2"/>
      <c r="BB56" s="2"/>
    </row>
    <row r="57" spans="1:54" ht="18.75" x14ac:dyDescent="0.3">
      <c r="A57" s="280"/>
      <c r="B57" s="135"/>
      <c r="C57" s="135"/>
      <c r="D57" s="135"/>
      <c r="E57" s="135"/>
      <c r="F57" s="135"/>
      <c r="G57" s="135"/>
      <c r="H57" s="135"/>
      <c r="I57" s="135"/>
      <c r="J57" s="135"/>
      <c r="K57" s="135"/>
      <c r="L57" s="135"/>
      <c r="M57" s="135"/>
      <c r="N57" s="135"/>
      <c r="O57" s="135"/>
      <c r="P57" s="135"/>
      <c r="Q57" s="124"/>
      <c r="R57" s="135"/>
      <c r="S57" s="124"/>
      <c r="T57" s="124"/>
      <c r="U57" s="124"/>
      <c r="V57" s="124"/>
      <c r="W57" s="135"/>
      <c r="X57" s="182">
        <v>25</v>
      </c>
      <c r="Y57" s="200"/>
      <c r="Z57" s="201"/>
      <c r="AA57" s="182"/>
      <c r="AB57" s="182"/>
      <c r="AC57" s="277"/>
      <c r="AD57" s="108"/>
      <c r="AE57" s="108">
        <f t="shared" si="12"/>
        <v>0</v>
      </c>
      <c r="AF57" s="182"/>
      <c r="AG57" s="182"/>
      <c r="AH57" s="202"/>
      <c r="AI57" s="203"/>
      <c r="AJ57" s="108">
        <f t="shared" si="13"/>
        <v>0</v>
      </c>
      <c r="AK57" s="163"/>
      <c r="AL57" s="258">
        <f t="shared" si="9"/>
        <v>0</v>
      </c>
      <c r="AM57" s="221">
        <v>25</v>
      </c>
      <c r="AN57" s="36"/>
      <c r="AR57" s="92"/>
      <c r="AS57" s="2"/>
      <c r="AT57" s="2"/>
      <c r="AU57" s="2"/>
      <c r="AV57" s="2"/>
      <c r="AY57" s="2"/>
      <c r="AZ57" s="2"/>
      <c r="BA57" s="2"/>
      <c r="BB57" s="2"/>
    </row>
    <row r="58" spans="1:54" ht="18.75" x14ac:dyDescent="0.3">
      <c r="A58" s="280"/>
      <c r="B58" s="135"/>
      <c r="C58" s="135"/>
      <c r="D58" s="135"/>
      <c r="E58" s="135"/>
      <c r="F58" s="135"/>
      <c r="G58" s="135"/>
      <c r="H58" s="135"/>
      <c r="I58" s="135"/>
      <c r="J58" s="135"/>
      <c r="K58" s="135"/>
      <c r="L58" s="135"/>
      <c r="M58" s="135"/>
      <c r="N58" s="135"/>
      <c r="O58" s="135"/>
      <c r="P58" s="135"/>
      <c r="Q58" s="124"/>
      <c r="R58" s="135"/>
      <c r="S58" s="124"/>
      <c r="T58" s="124"/>
      <c r="U58" s="124"/>
      <c r="V58" s="124"/>
      <c r="W58" s="135"/>
      <c r="X58" s="182">
        <v>26</v>
      </c>
      <c r="Y58" s="200"/>
      <c r="Z58" s="201"/>
      <c r="AA58" s="182"/>
      <c r="AB58" s="182"/>
      <c r="AC58" s="277"/>
      <c r="AD58" s="108"/>
      <c r="AE58" s="108">
        <f t="shared" si="12"/>
        <v>0</v>
      </c>
      <c r="AF58" s="182"/>
      <c r="AG58" s="182"/>
      <c r="AH58" s="202"/>
      <c r="AI58" s="203"/>
      <c r="AJ58" s="108">
        <f t="shared" si="13"/>
        <v>0</v>
      </c>
      <c r="AK58" s="163"/>
      <c r="AL58" s="258">
        <f t="shared" si="9"/>
        <v>0</v>
      </c>
      <c r="AM58" s="221">
        <v>26</v>
      </c>
      <c r="AN58" s="16"/>
      <c r="AR58" s="2"/>
      <c r="AS58" s="2"/>
      <c r="AT58" s="2"/>
      <c r="AU58" s="2"/>
      <c r="AV58" s="2"/>
      <c r="AY58" s="2"/>
      <c r="AZ58" s="2"/>
      <c r="BA58" s="2"/>
      <c r="BB58" s="2"/>
    </row>
    <row r="59" spans="1:54" ht="18.75" x14ac:dyDescent="0.3">
      <c r="A59" s="280"/>
      <c r="B59" s="135"/>
      <c r="C59" s="135"/>
      <c r="D59" s="135"/>
      <c r="E59" s="135"/>
      <c r="F59" s="135"/>
      <c r="G59" s="135"/>
      <c r="H59" s="135"/>
      <c r="I59" s="135"/>
      <c r="J59" s="135"/>
      <c r="K59" s="135"/>
      <c r="L59" s="135"/>
      <c r="M59" s="135"/>
      <c r="N59" s="135"/>
      <c r="O59" s="135"/>
      <c r="P59" s="135"/>
      <c r="Q59" s="124"/>
      <c r="R59" s="135"/>
      <c r="S59" s="124"/>
      <c r="T59" s="124"/>
      <c r="U59" s="124"/>
      <c r="V59" s="124"/>
      <c r="W59" s="135"/>
      <c r="X59" s="182">
        <v>27</v>
      </c>
      <c r="Y59" s="200"/>
      <c r="Z59" s="201"/>
      <c r="AA59" s="182"/>
      <c r="AB59" s="182"/>
      <c r="AC59" s="277"/>
      <c r="AD59" s="108"/>
      <c r="AE59" s="108">
        <f t="shared" si="12"/>
        <v>0</v>
      </c>
      <c r="AF59" s="182"/>
      <c r="AG59" s="182"/>
      <c r="AH59" s="202"/>
      <c r="AI59" s="203"/>
      <c r="AJ59" s="108">
        <f t="shared" si="13"/>
        <v>0</v>
      </c>
      <c r="AK59" s="163"/>
      <c r="AL59" s="258">
        <f t="shared" si="9"/>
        <v>0</v>
      </c>
      <c r="AM59" s="221">
        <v>27</v>
      </c>
      <c r="AN59" s="16"/>
      <c r="AR59" s="2"/>
      <c r="AS59" s="2"/>
      <c r="AT59" s="2"/>
      <c r="AU59" s="2"/>
      <c r="AV59" s="12"/>
      <c r="AY59" s="2"/>
      <c r="AZ59" s="2"/>
      <c r="BA59" s="2"/>
      <c r="BB59" s="2"/>
    </row>
    <row r="60" spans="1:54" ht="18.75" x14ac:dyDescent="0.3">
      <c r="A60" s="280"/>
      <c r="B60" s="135"/>
      <c r="C60" s="135"/>
      <c r="D60" s="135"/>
      <c r="E60" s="135"/>
      <c r="F60" s="135"/>
      <c r="G60" s="135"/>
      <c r="H60" s="135"/>
      <c r="I60" s="135"/>
      <c r="J60" s="135"/>
      <c r="K60" s="135"/>
      <c r="L60" s="135"/>
      <c r="M60" s="135"/>
      <c r="N60" s="135"/>
      <c r="O60" s="135"/>
      <c r="P60" s="135"/>
      <c r="Q60" s="124"/>
      <c r="R60" s="135"/>
      <c r="S60" s="124"/>
      <c r="T60" s="124"/>
      <c r="U60" s="124"/>
      <c r="V60" s="124"/>
      <c r="W60" s="135"/>
      <c r="X60" s="182">
        <v>28</v>
      </c>
      <c r="Y60" s="200"/>
      <c r="Z60" s="201"/>
      <c r="AA60" s="182"/>
      <c r="AB60" s="227"/>
      <c r="AC60" s="277"/>
      <c r="AD60" s="108"/>
      <c r="AE60" s="108">
        <f t="shared" si="12"/>
        <v>0</v>
      </c>
      <c r="AF60" s="182"/>
      <c r="AG60" s="182"/>
      <c r="AH60" s="202"/>
      <c r="AI60" s="203"/>
      <c r="AJ60" s="108">
        <f t="shared" si="13"/>
        <v>0</v>
      </c>
      <c r="AK60" s="163"/>
      <c r="AL60" s="258">
        <f t="shared" si="9"/>
        <v>0</v>
      </c>
      <c r="AM60" s="221">
        <v>28</v>
      </c>
      <c r="AN60" s="16"/>
      <c r="AR60" s="12"/>
      <c r="AS60" s="2"/>
      <c r="AT60" s="2"/>
      <c r="AU60" s="2"/>
      <c r="AV60" s="12"/>
      <c r="AY60" s="2"/>
      <c r="AZ60" s="2"/>
      <c r="BA60" s="2"/>
      <c r="BB60" s="2"/>
    </row>
    <row r="61" spans="1:54" ht="18.75" x14ac:dyDescent="0.3">
      <c r="A61" s="280"/>
      <c r="B61" s="135"/>
      <c r="C61" s="135"/>
      <c r="D61" s="135"/>
      <c r="E61" s="135"/>
      <c r="F61" s="135"/>
      <c r="G61" s="135"/>
      <c r="H61" s="135"/>
      <c r="I61" s="135"/>
      <c r="J61" s="135"/>
      <c r="K61" s="135"/>
      <c r="L61" s="135"/>
      <c r="M61" s="135"/>
      <c r="N61" s="135"/>
      <c r="O61" s="135"/>
      <c r="P61" s="135"/>
      <c r="Q61" s="124"/>
      <c r="R61" s="135"/>
      <c r="S61" s="124"/>
      <c r="T61" s="124"/>
      <c r="U61" s="124"/>
      <c r="V61" s="124"/>
      <c r="W61" s="135"/>
      <c r="X61" s="182">
        <v>29</v>
      </c>
      <c r="Y61" s="223"/>
      <c r="Z61" s="224"/>
      <c r="AA61" s="208"/>
      <c r="AB61" s="208"/>
      <c r="AC61" s="277"/>
      <c r="AD61" s="210"/>
      <c r="AE61" s="108">
        <f t="shared" si="12"/>
        <v>0</v>
      </c>
      <c r="AF61" s="182"/>
      <c r="AG61" s="182"/>
      <c r="AH61" s="282"/>
      <c r="AI61" s="203"/>
      <c r="AJ61" s="108">
        <f t="shared" si="13"/>
        <v>0</v>
      </c>
      <c r="AK61" s="306"/>
      <c r="AL61" s="258">
        <f t="shared" si="9"/>
        <v>0</v>
      </c>
      <c r="AM61" s="221">
        <v>29</v>
      </c>
      <c r="AN61" s="16"/>
      <c r="AR61" s="12"/>
      <c r="AS61" s="2"/>
      <c r="AT61" s="2"/>
      <c r="AU61" s="2"/>
      <c r="AV61" s="12"/>
    </row>
    <row r="62" spans="1:54" ht="18.75" x14ac:dyDescent="0.3">
      <c r="A62" s="280"/>
      <c r="B62" s="135"/>
      <c r="C62" s="135"/>
      <c r="D62" s="135"/>
      <c r="E62" s="135"/>
      <c r="F62" s="135"/>
      <c r="G62" s="135"/>
      <c r="H62" s="135"/>
      <c r="I62" s="135"/>
      <c r="J62" s="135"/>
      <c r="K62" s="135"/>
      <c r="L62" s="135"/>
      <c r="M62" s="135"/>
      <c r="N62" s="135"/>
      <c r="O62" s="135"/>
      <c r="P62" s="135"/>
      <c r="Q62" s="124"/>
      <c r="R62" s="135"/>
      <c r="S62" s="124"/>
      <c r="T62" s="124"/>
      <c r="U62" s="124"/>
      <c r="V62" s="124"/>
      <c r="W62" s="135"/>
      <c r="X62" s="182">
        <v>30</v>
      </c>
      <c r="Y62" s="223"/>
      <c r="Z62" s="224"/>
      <c r="AA62" s="208"/>
      <c r="AB62" s="208"/>
      <c r="AC62" s="277"/>
      <c r="AD62" s="108"/>
      <c r="AE62" s="108">
        <f t="shared" si="12"/>
        <v>0</v>
      </c>
      <c r="AF62" s="182"/>
      <c r="AG62" s="283"/>
      <c r="AH62" s="284"/>
      <c r="AI62" s="285"/>
      <c r="AJ62" s="286">
        <f t="shared" si="13"/>
        <v>0</v>
      </c>
      <c r="AK62" s="301"/>
      <c r="AL62" s="307">
        <f t="shared" si="9"/>
        <v>0</v>
      </c>
      <c r="AM62" s="221">
        <v>30</v>
      </c>
      <c r="AN62" s="16"/>
      <c r="AR62" s="2"/>
      <c r="AS62" s="2"/>
      <c r="AT62" s="2"/>
      <c r="AU62" s="2"/>
      <c r="AV62" s="12"/>
    </row>
    <row r="63" spans="1:54" ht="18.75" x14ac:dyDescent="0.3">
      <c r="A63" s="280"/>
      <c r="B63" s="135"/>
      <c r="C63" s="135"/>
      <c r="D63" s="135"/>
      <c r="E63" s="135"/>
      <c r="F63" s="135"/>
      <c r="G63" s="135"/>
      <c r="H63" s="135"/>
      <c r="I63" s="135"/>
      <c r="J63" s="135"/>
      <c r="K63" s="135"/>
      <c r="L63" s="135"/>
      <c r="M63" s="135"/>
      <c r="N63" s="135"/>
      <c r="O63" s="135"/>
      <c r="P63" s="135"/>
      <c r="Q63" s="124"/>
      <c r="R63" s="135"/>
      <c r="S63" s="124"/>
      <c r="T63" s="124"/>
      <c r="U63" s="124"/>
      <c r="V63" s="124"/>
      <c r="W63" s="135"/>
      <c r="X63" s="24"/>
      <c r="Y63" s="160"/>
      <c r="Z63" s="161"/>
      <c r="AA63" s="24"/>
      <c r="AB63" s="24"/>
      <c r="AC63" s="277">
        <f>SUM(AC33:AC62)</f>
        <v>0</v>
      </c>
      <c r="AD63" s="287"/>
      <c r="AE63" s="163"/>
      <c r="AF63" s="24"/>
      <c r="AG63" s="288"/>
      <c r="AH63" s="289" t="s">
        <v>75</v>
      </c>
      <c r="AI63" s="290"/>
      <c r="AJ63" s="291">
        <f>SUM(AJ3:AJ62)</f>
        <v>0</v>
      </c>
      <c r="AK63" s="163"/>
      <c r="AL63" s="258">
        <f t="shared" si="9"/>
        <v>0</v>
      </c>
      <c r="AM63" s="38"/>
      <c r="AN63" s="16"/>
      <c r="AR63" s="2"/>
      <c r="AS63" s="2"/>
      <c r="AT63" s="2"/>
      <c r="AU63" s="2"/>
      <c r="AV63" s="12"/>
    </row>
    <row r="64" spans="1:54" ht="18.75" x14ac:dyDescent="0.3">
      <c r="A64" s="280"/>
      <c r="B64" s="135"/>
      <c r="C64" s="135"/>
      <c r="D64" s="135"/>
      <c r="E64" s="135"/>
      <c r="F64" s="135"/>
      <c r="G64" s="135"/>
      <c r="H64" s="135"/>
      <c r="I64" s="135"/>
      <c r="J64" s="135"/>
      <c r="K64" s="135"/>
      <c r="L64" s="135"/>
      <c r="M64" s="135"/>
      <c r="N64" s="135"/>
      <c r="O64" s="135"/>
      <c r="P64" s="135"/>
      <c r="Q64" s="124"/>
      <c r="R64" s="135"/>
      <c r="S64" s="124"/>
      <c r="T64" s="124"/>
      <c r="U64" s="124"/>
      <c r="V64" s="124"/>
      <c r="W64" s="135"/>
      <c r="X64" s="24"/>
      <c r="Y64" s="292"/>
      <c r="Z64" s="293"/>
      <c r="AA64" s="32"/>
      <c r="AB64" s="294"/>
      <c r="AC64" s="295" t="s">
        <v>16</v>
      </c>
      <c r="AD64" s="296">
        <f>SUM(AD33:AD63)</f>
        <v>0</v>
      </c>
      <c r="AE64" s="163"/>
      <c r="AF64" s="24"/>
      <c r="AG64" s="24"/>
      <c r="AH64" s="297"/>
      <c r="AI64" s="165"/>
      <c r="AJ64" s="163"/>
      <c r="AK64" s="163"/>
      <c r="AL64" s="124"/>
      <c r="AM64" s="124"/>
      <c r="AN64" s="36"/>
      <c r="AR64" s="2"/>
      <c r="AS64" s="2"/>
      <c r="AT64" s="2"/>
      <c r="AU64" s="2"/>
      <c r="AV64" s="12"/>
    </row>
    <row r="65" spans="1:55" ht="18.75" x14ac:dyDescent="0.3">
      <c r="A65" s="280"/>
      <c r="B65" s="135"/>
      <c r="C65" s="135"/>
      <c r="D65" s="135"/>
      <c r="E65" s="135"/>
      <c r="F65" s="135"/>
      <c r="G65" s="135"/>
      <c r="H65" s="135"/>
      <c r="I65" s="135"/>
      <c r="J65" s="135"/>
      <c r="K65" s="135"/>
      <c r="L65" s="135"/>
      <c r="M65" s="135"/>
      <c r="N65" s="135"/>
      <c r="O65" s="135"/>
      <c r="P65" s="135"/>
      <c r="Q65" s="124"/>
      <c r="R65" s="135"/>
      <c r="S65" s="124"/>
      <c r="T65" s="124"/>
      <c r="U65" s="124"/>
      <c r="V65" s="124"/>
      <c r="W65" s="135"/>
      <c r="X65" s="24"/>
      <c r="Y65" s="160"/>
      <c r="Z65" s="161"/>
      <c r="AA65" s="24"/>
      <c r="AB65" s="24"/>
      <c r="AC65" s="163"/>
      <c r="AD65" s="163"/>
      <c r="AE65" s="163"/>
      <c r="AF65" s="24"/>
      <c r="AG65" s="24"/>
      <c r="AH65" s="297"/>
      <c r="AI65" s="165"/>
      <c r="AJ65" s="163"/>
      <c r="AK65" s="163"/>
      <c r="AL65" s="24"/>
      <c r="AM65" s="308"/>
      <c r="AN65" s="16"/>
      <c r="AR65" s="2"/>
      <c r="AS65" s="2"/>
      <c r="AT65" s="2"/>
      <c r="AU65" s="2"/>
      <c r="AV65" s="2"/>
    </row>
    <row r="66" spans="1:55" ht="18.75" x14ac:dyDescent="0.3">
      <c r="A66" s="280"/>
      <c r="B66" s="135"/>
      <c r="C66" s="135"/>
      <c r="D66" s="135"/>
      <c r="E66" s="135"/>
      <c r="F66" s="135"/>
      <c r="G66" s="135"/>
      <c r="H66" s="135"/>
      <c r="I66" s="135"/>
      <c r="J66" s="135"/>
      <c r="K66" s="135"/>
      <c r="L66" s="135"/>
      <c r="M66" s="135"/>
      <c r="N66" s="135"/>
      <c r="O66" s="135"/>
      <c r="P66" s="135"/>
      <c r="Q66" s="124"/>
      <c r="R66" s="135"/>
      <c r="S66" s="124"/>
      <c r="T66" s="124"/>
      <c r="U66" s="124"/>
      <c r="V66" s="124"/>
      <c r="W66" s="135"/>
      <c r="X66" s="24"/>
      <c r="Y66" s="160"/>
      <c r="Z66" s="161"/>
      <c r="AA66" s="24"/>
      <c r="AB66" s="24"/>
      <c r="AC66" s="163"/>
      <c r="AD66" s="163"/>
      <c r="AE66" s="163"/>
      <c r="AF66" s="24"/>
      <c r="AG66" s="24"/>
      <c r="AH66" s="297"/>
      <c r="AI66" s="202" t="s">
        <v>76</v>
      </c>
      <c r="AJ66" s="163"/>
      <c r="AK66" s="163"/>
      <c r="AL66" s="24"/>
      <c r="AM66" s="308"/>
      <c r="AN66" s="16"/>
      <c r="AR66" s="2"/>
      <c r="AS66" s="2"/>
      <c r="AT66" s="2"/>
      <c r="AU66" s="2"/>
      <c r="AV66" s="2"/>
    </row>
    <row r="67" spans="1:55" ht="18.75" x14ac:dyDescent="0.3">
      <c r="A67" s="280"/>
      <c r="B67" s="135"/>
      <c r="C67" s="135"/>
      <c r="D67" s="135"/>
      <c r="E67" s="135"/>
      <c r="F67" s="135"/>
      <c r="G67" s="135"/>
      <c r="H67" s="135"/>
      <c r="I67" s="135"/>
      <c r="J67" s="135"/>
      <c r="K67" s="135"/>
      <c r="L67" s="135"/>
      <c r="M67" s="135"/>
      <c r="N67" s="135"/>
      <c r="O67" s="135"/>
      <c r="P67" s="135"/>
      <c r="Q67" s="124"/>
      <c r="R67" s="135"/>
      <c r="S67" s="124"/>
      <c r="T67" s="124"/>
      <c r="U67" s="124"/>
      <c r="V67" s="124"/>
      <c r="W67" s="135"/>
      <c r="X67" s="24"/>
      <c r="Y67" s="160"/>
      <c r="Z67" s="161"/>
      <c r="AA67" s="24"/>
      <c r="AB67" s="24"/>
      <c r="AC67" s="231" t="s">
        <v>16</v>
      </c>
      <c r="AD67" s="231">
        <f>AD30</f>
        <v>0</v>
      </c>
      <c r="AE67" s="163"/>
      <c r="AF67" s="24"/>
      <c r="AG67" s="24"/>
      <c r="AH67" s="297"/>
      <c r="AI67" s="233"/>
      <c r="AJ67" s="291">
        <f>AJ63</f>
        <v>0</v>
      </c>
      <c r="AK67" s="163"/>
      <c r="AL67" s="24"/>
      <c r="AM67" s="308"/>
      <c r="AN67" s="16"/>
      <c r="AR67" s="2"/>
      <c r="AS67" s="2"/>
      <c r="AT67" s="2"/>
      <c r="AU67" s="2"/>
      <c r="AV67" s="2"/>
    </row>
    <row r="68" spans="1:55" ht="18.75" x14ac:dyDescent="0.3">
      <c r="A68" s="280"/>
      <c r="B68" s="135"/>
      <c r="C68" s="135"/>
      <c r="D68" s="135"/>
      <c r="E68" s="135"/>
      <c r="F68" s="135"/>
      <c r="G68" s="135"/>
      <c r="H68" s="135"/>
      <c r="I68" s="135"/>
      <c r="J68" s="135"/>
      <c r="K68" s="135"/>
      <c r="L68" s="135"/>
      <c r="M68" s="135"/>
      <c r="N68" s="135"/>
      <c r="O68" s="135"/>
      <c r="P68" s="135"/>
      <c r="Q68" s="124"/>
      <c r="R68" s="135"/>
      <c r="S68" s="124"/>
      <c r="T68" s="124"/>
      <c r="U68" s="124"/>
      <c r="V68" s="124"/>
      <c r="W68" s="135"/>
      <c r="X68" s="24"/>
      <c r="Y68" s="160"/>
      <c r="Z68" s="161"/>
      <c r="AA68" s="24"/>
      <c r="AB68" s="24"/>
      <c r="AC68" s="295" t="s">
        <v>16</v>
      </c>
      <c r="AD68" s="296">
        <f>AD64</f>
        <v>0</v>
      </c>
      <c r="AE68" s="163"/>
      <c r="AF68" s="24"/>
      <c r="AG68" s="24"/>
      <c r="AH68" s="297"/>
      <c r="AI68" s="298" t="s">
        <v>32</v>
      </c>
      <c r="AJ68" s="295">
        <f>'JANV 2026'!AJ69</f>
        <v>0</v>
      </c>
      <c r="AK68" s="163"/>
      <c r="AL68" s="24"/>
      <c r="AM68" s="308"/>
      <c r="AN68" s="16"/>
      <c r="AR68" s="2"/>
      <c r="AS68" s="2"/>
      <c r="AT68" s="2"/>
      <c r="AU68" s="2"/>
      <c r="AV68" s="2"/>
      <c r="BC68" s="20"/>
    </row>
    <row r="69" spans="1:55" ht="18.75" x14ac:dyDescent="0.3">
      <c r="A69" s="280"/>
      <c r="B69" s="135"/>
      <c r="C69" s="135"/>
      <c r="D69" s="135"/>
      <c r="E69" s="135"/>
      <c r="F69" s="135"/>
      <c r="G69" s="135"/>
      <c r="H69" s="135"/>
      <c r="I69" s="135"/>
      <c r="J69" s="135"/>
      <c r="K69" s="135"/>
      <c r="L69" s="135"/>
      <c r="M69" s="135"/>
      <c r="N69" s="135"/>
      <c r="O69" s="135"/>
      <c r="P69" s="135"/>
      <c r="Q69" s="124"/>
      <c r="R69" s="135"/>
      <c r="S69" s="124"/>
      <c r="T69" s="124"/>
      <c r="U69" s="124"/>
      <c r="V69" s="124"/>
      <c r="W69" s="135"/>
      <c r="X69" s="24"/>
      <c r="Y69" s="160"/>
      <c r="Z69" s="161"/>
      <c r="AA69" s="24"/>
      <c r="AB69" s="24"/>
      <c r="AC69" s="299" t="s">
        <v>74</v>
      </c>
      <c r="AD69" s="299">
        <f>SUM(AD67:AD68)</f>
        <v>0</v>
      </c>
      <c r="AE69" s="163"/>
      <c r="AF69" s="24"/>
      <c r="AG69" s="24"/>
      <c r="AH69" s="297"/>
      <c r="AI69" s="298" t="s">
        <v>33</v>
      </c>
      <c r="AJ69" s="300">
        <f>SUM(AJ67:AJ68)</f>
        <v>0</v>
      </c>
      <c r="AK69" s="163"/>
      <c r="AL69" s="24"/>
      <c r="AM69" s="308"/>
      <c r="AN69" s="16"/>
      <c r="AR69" s="2"/>
      <c r="AS69" s="2"/>
      <c r="AT69" s="2"/>
      <c r="AU69" s="2"/>
      <c r="AV69" s="2"/>
      <c r="BC69" s="20"/>
    </row>
    <row r="70" spans="1:55" ht="18.75" x14ac:dyDescent="0.3">
      <c r="A70" s="1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X70" s="16"/>
      <c r="Y70" s="41"/>
      <c r="Z70" s="42"/>
      <c r="AA70" s="20"/>
      <c r="AB70" s="44"/>
      <c r="AC70" s="19"/>
      <c r="AD70" s="19"/>
      <c r="AE70" s="19"/>
      <c r="AF70" s="20"/>
      <c r="AG70" s="20"/>
      <c r="AH70" s="43"/>
      <c r="AI70" s="21"/>
      <c r="AJ70" s="22"/>
      <c r="AK70" s="17"/>
      <c r="AL70" s="16"/>
      <c r="AM70" s="39"/>
      <c r="AN70" s="22"/>
      <c r="AR70" s="2"/>
      <c r="AS70" s="2"/>
      <c r="AT70" s="2"/>
      <c r="AU70" s="2"/>
      <c r="AV70" s="2"/>
    </row>
    <row r="71" spans="1:55" ht="18.75" x14ac:dyDescent="0.3">
      <c r="A71" s="1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X71" s="16"/>
      <c r="Y71" s="45"/>
      <c r="Z71" s="46"/>
      <c r="AA71" s="47"/>
      <c r="AB71" s="47"/>
      <c r="AC71" s="48"/>
      <c r="AD71" s="48"/>
      <c r="AE71" s="19"/>
      <c r="AF71" s="20"/>
      <c r="AG71" s="20"/>
      <c r="AH71" s="43"/>
      <c r="AK71" s="17"/>
      <c r="AL71" s="16"/>
      <c r="AM71" s="39"/>
      <c r="AN71" s="22"/>
      <c r="BA71" s="7"/>
    </row>
    <row r="72" spans="1:55" ht="18.75" x14ac:dyDescent="0.3">
      <c r="A72" s="1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X72" s="16"/>
      <c r="Y72" s="45"/>
      <c r="Z72" s="46"/>
      <c r="AA72" s="47"/>
      <c r="AB72" s="47"/>
      <c r="AC72" s="19"/>
      <c r="AD72" s="19"/>
      <c r="AE72" s="19"/>
      <c r="AF72" s="20"/>
      <c r="AG72" s="20"/>
      <c r="AH72" s="43"/>
      <c r="AK72" s="17"/>
      <c r="AL72" s="16"/>
      <c r="AM72" s="39"/>
      <c r="AN72" s="22"/>
      <c r="AY72" s="7"/>
      <c r="BA72" s="7"/>
    </row>
    <row r="73" spans="1:55" ht="18.75" x14ac:dyDescent="0.3">
      <c r="A73" s="1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X73" s="16"/>
      <c r="Y73" s="41"/>
      <c r="Z73" s="42"/>
      <c r="AA73" s="20"/>
      <c r="AB73" s="20"/>
      <c r="AC73" s="19"/>
      <c r="AD73" s="19"/>
      <c r="AE73" s="19"/>
      <c r="AF73" s="20"/>
      <c r="AG73" s="20"/>
      <c r="AH73" s="49"/>
      <c r="AK73" s="17"/>
      <c r="AL73" s="16"/>
      <c r="AM73" s="40" t="s">
        <v>34</v>
      </c>
      <c r="AN73" s="16"/>
      <c r="AY73" s="7"/>
      <c r="BA73" s="7"/>
    </row>
    <row r="74" spans="1:55" x14ac:dyDescent="0.2">
      <c r="A74" s="1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AY74" s="2"/>
    </row>
    <row r="75" spans="1:55" x14ac:dyDescent="0.2">
      <c r="A75" s="1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AR75" s="2"/>
      <c r="AS75" s="2"/>
      <c r="AT75" s="2"/>
      <c r="AU75" s="2"/>
      <c r="AV75" s="2"/>
      <c r="AY75" s="2"/>
      <c r="AZ75" s="2"/>
      <c r="BA75" s="2"/>
      <c r="BB75" s="2"/>
    </row>
    <row r="76" spans="1:55" x14ac:dyDescent="0.2">
      <c r="A76" s="1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AR76" s="92"/>
      <c r="AS76" s="11"/>
      <c r="AT76" s="11"/>
      <c r="AU76" s="11"/>
      <c r="AV76" s="2"/>
      <c r="AY76" s="2"/>
      <c r="AZ76" s="2"/>
      <c r="BA76" s="12"/>
      <c r="BB76" s="2"/>
    </row>
    <row r="77" spans="1:55" x14ac:dyDescent="0.2">
      <c r="A77" s="12"/>
      <c r="B77" s="2"/>
      <c r="L77" s="2"/>
      <c r="M77" s="2"/>
      <c r="N77" s="2"/>
      <c r="O77" s="2"/>
      <c r="AR77" s="92"/>
      <c r="AS77" s="11"/>
      <c r="AT77" s="11"/>
      <c r="AU77" s="11"/>
      <c r="AV77" s="2"/>
      <c r="AY77" s="12"/>
      <c r="AZ77" s="2"/>
      <c r="BA77" s="12"/>
      <c r="BB77" s="2"/>
    </row>
    <row r="78" spans="1:55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AR78" s="92"/>
      <c r="AS78" s="11"/>
      <c r="AT78" s="11"/>
      <c r="AU78" s="11"/>
      <c r="AV78" s="2"/>
      <c r="AY78" s="12"/>
      <c r="AZ78" s="2"/>
      <c r="BA78" s="12"/>
      <c r="BB78" s="2"/>
    </row>
    <row r="79" spans="1:55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AR79" s="92"/>
      <c r="AS79" s="2"/>
      <c r="AT79" s="2"/>
      <c r="AU79" s="2"/>
      <c r="AV79" s="2"/>
      <c r="AY79" s="2"/>
      <c r="AZ79" s="2"/>
      <c r="BA79" s="12"/>
      <c r="BB79" s="2"/>
    </row>
    <row r="80" spans="1:55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AR80" s="2"/>
      <c r="AS80" s="11"/>
      <c r="AT80" s="11"/>
      <c r="AU80" s="11"/>
      <c r="AV80" s="2"/>
      <c r="AY80" s="2"/>
      <c r="AZ80" s="2"/>
      <c r="BA80" s="2"/>
      <c r="BB80" s="2"/>
    </row>
    <row r="81" spans="1:54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AR81" s="92"/>
      <c r="AS81" s="2"/>
      <c r="AT81" s="2"/>
      <c r="AU81" s="2"/>
      <c r="AV81" s="2"/>
      <c r="AY81" s="2"/>
      <c r="AZ81" s="2"/>
      <c r="BA81" s="2"/>
      <c r="BB81" s="2"/>
    </row>
    <row r="82" spans="1:54" x14ac:dyDescent="0.2">
      <c r="A82" s="2"/>
      <c r="B82" s="2"/>
      <c r="C82" s="2"/>
      <c r="D82" s="2"/>
      <c r="E82" s="2"/>
      <c r="F82" s="2"/>
      <c r="G82" s="2"/>
      <c r="H82" s="2"/>
      <c r="I82" s="2"/>
      <c r="J82" s="13"/>
      <c r="K82" s="2"/>
      <c r="L82" s="2"/>
      <c r="M82" s="2"/>
      <c r="N82" s="2"/>
      <c r="O82" s="2"/>
      <c r="P82" s="2"/>
      <c r="AR82" s="2"/>
      <c r="AS82" s="2"/>
      <c r="AT82" s="2"/>
      <c r="AU82" s="2"/>
      <c r="AV82" s="2"/>
      <c r="AY82" s="2"/>
      <c r="AZ82" s="2"/>
      <c r="BA82" s="2"/>
      <c r="BB82" s="2"/>
    </row>
    <row r="83" spans="1:54" x14ac:dyDescent="0.2">
      <c r="J83" s="13"/>
      <c r="K83" s="2"/>
      <c r="AR83" s="2"/>
      <c r="AS83" s="2"/>
      <c r="AT83" s="2"/>
      <c r="AU83" s="2"/>
      <c r="AV83" s="12"/>
      <c r="AY83" s="2"/>
      <c r="AZ83" s="2"/>
      <c r="BA83" s="2"/>
      <c r="BB83" s="2"/>
    </row>
    <row r="84" spans="1:54" x14ac:dyDescent="0.2">
      <c r="AR84" s="12"/>
      <c r="AS84" s="2"/>
      <c r="AT84" s="2"/>
      <c r="AU84" s="2"/>
      <c r="AV84" s="12"/>
      <c r="AY84" s="2"/>
      <c r="AZ84" s="2"/>
      <c r="BA84" s="2"/>
      <c r="BB84" s="2"/>
    </row>
    <row r="85" spans="1:54" x14ac:dyDescent="0.2">
      <c r="A85" s="2"/>
      <c r="B85" s="2"/>
      <c r="AR85" s="12"/>
      <c r="AS85" s="2"/>
      <c r="AT85" s="2"/>
      <c r="AU85" s="2"/>
      <c r="AV85" s="12"/>
    </row>
    <row r="86" spans="1:54" x14ac:dyDescent="0.2">
      <c r="A86" s="2"/>
      <c r="B86" s="2"/>
      <c r="C86" s="2"/>
      <c r="D86" s="2"/>
      <c r="E86" s="2"/>
      <c r="F86" s="6"/>
      <c r="I86" s="6"/>
      <c r="AR86" s="2"/>
      <c r="AS86" s="2"/>
      <c r="AT86" s="2"/>
      <c r="AU86" s="2"/>
      <c r="AV86" s="12"/>
    </row>
    <row r="87" spans="1:54" x14ac:dyDescent="0.2">
      <c r="C87" s="5"/>
      <c r="F87" s="6"/>
      <c r="AR87" s="2"/>
      <c r="AS87" s="2"/>
      <c r="AT87" s="2"/>
      <c r="AU87" s="2"/>
      <c r="AV87" s="12"/>
    </row>
    <row r="88" spans="1:54" x14ac:dyDescent="0.2">
      <c r="C88" s="5"/>
      <c r="AR88" s="2"/>
      <c r="AS88" s="2"/>
      <c r="AT88" s="2"/>
      <c r="AU88" s="2"/>
      <c r="AV88" s="12"/>
    </row>
    <row r="89" spans="1:54" x14ac:dyDescent="0.2">
      <c r="C89" s="5"/>
      <c r="AR89" s="2"/>
      <c r="AS89" s="2"/>
      <c r="AT89" s="2"/>
      <c r="AU89" s="2"/>
      <c r="AV89" s="2"/>
    </row>
    <row r="90" spans="1:54" x14ac:dyDescent="0.2">
      <c r="C90" s="5"/>
      <c r="AR90" s="2"/>
      <c r="AS90" s="2"/>
      <c r="AT90" s="2"/>
      <c r="AU90" s="2"/>
      <c r="AV90" s="2"/>
    </row>
    <row r="91" spans="1:54" x14ac:dyDescent="0.2">
      <c r="C91" s="5"/>
      <c r="AR91" s="2"/>
      <c r="AS91" s="2"/>
      <c r="AT91" s="2"/>
      <c r="AU91" s="2"/>
      <c r="AV91" s="2"/>
    </row>
    <row r="92" spans="1:54" x14ac:dyDescent="0.2">
      <c r="C92" s="5"/>
      <c r="AR92" s="2"/>
      <c r="AS92" s="2"/>
      <c r="AT92" s="2"/>
      <c r="AU92" s="2"/>
      <c r="AV92" s="2"/>
    </row>
    <row r="93" spans="1:54" x14ac:dyDescent="0.2">
      <c r="C93" s="5"/>
      <c r="AR93" s="2"/>
      <c r="AS93" s="2"/>
      <c r="AT93" s="2"/>
      <c r="AU93" s="2"/>
      <c r="AV93" s="2"/>
    </row>
    <row r="94" spans="1:54" x14ac:dyDescent="0.2">
      <c r="C94" s="5"/>
      <c r="AR94" s="2"/>
      <c r="AS94" s="11"/>
      <c r="AT94" s="11"/>
      <c r="AU94" s="11"/>
      <c r="AV94" s="2"/>
    </row>
    <row r="95" spans="1:54" x14ac:dyDescent="0.2">
      <c r="C95" s="5"/>
    </row>
    <row r="96" spans="1:54" x14ac:dyDescent="0.2">
      <c r="C96" s="5"/>
    </row>
    <row r="97" spans="3:3" x14ac:dyDescent="0.2">
      <c r="C97" s="5"/>
    </row>
    <row r="98" spans="3:3" x14ac:dyDescent="0.2">
      <c r="C98" s="5"/>
    </row>
    <row r="99" spans="3:3" x14ac:dyDescent="0.2">
      <c r="C99" s="5"/>
    </row>
    <row r="100" spans="3:3" x14ac:dyDescent="0.2">
      <c r="C100" s="5"/>
    </row>
    <row r="101" spans="3:3" x14ac:dyDescent="0.2">
      <c r="C101" s="5"/>
    </row>
    <row r="102" spans="3:3" x14ac:dyDescent="0.2">
      <c r="C102" s="5"/>
    </row>
    <row r="103" spans="3:3" x14ac:dyDescent="0.2">
      <c r="C103" s="5"/>
    </row>
    <row r="104" spans="3:3" x14ac:dyDescent="0.2">
      <c r="C104" s="5"/>
    </row>
    <row r="105" spans="3:3" x14ac:dyDescent="0.2">
      <c r="C105" s="5"/>
    </row>
    <row r="106" spans="3:3" x14ac:dyDescent="0.2">
      <c r="C106" s="5"/>
    </row>
    <row r="107" spans="3:3" x14ac:dyDescent="0.2">
      <c r="C107" s="5"/>
    </row>
    <row r="108" spans="3:3" x14ac:dyDescent="0.2">
      <c r="C108" s="5"/>
    </row>
    <row r="109" spans="3:3" x14ac:dyDescent="0.2">
      <c r="C109" s="5"/>
    </row>
    <row r="110" spans="3:3" x14ac:dyDescent="0.2">
      <c r="C110" s="5"/>
    </row>
    <row r="111" spans="3:3" x14ac:dyDescent="0.2">
      <c r="C111" s="5"/>
    </row>
    <row r="112" spans="3:3" x14ac:dyDescent="0.2">
      <c r="C112" s="5"/>
    </row>
    <row r="113" spans="3:3" x14ac:dyDescent="0.2">
      <c r="C113" s="5"/>
    </row>
    <row r="114" spans="3:3" x14ac:dyDescent="0.2">
      <c r="C114" s="5"/>
    </row>
    <row r="115" spans="3:3" x14ac:dyDescent="0.2">
      <c r="C115" s="5"/>
    </row>
    <row r="116" spans="3:3" x14ac:dyDescent="0.2">
      <c r="C116" s="5"/>
    </row>
    <row r="117" spans="3:3" x14ac:dyDescent="0.2">
      <c r="C117" s="5"/>
    </row>
  </sheetData>
  <pageMargins left="0.25" right="0.25" top="0.75" bottom="0.75" header="0.3" footer="0.3"/>
  <pageSetup paperSize="9" scale="83" fitToHeight="0" orientation="landscape" horizontalDpi="4294967292" verticalDpi="4294967292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published="0">
    <pageSetUpPr fitToPage="1"/>
  </sheetPr>
  <dimension ref="A1:BE117"/>
  <sheetViews>
    <sheetView topLeftCell="L37" zoomScale="70" zoomScaleNormal="70" zoomScalePageLayoutView="85" workbookViewId="0">
      <selection activeCell="N40" sqref="N40:O45"/>
    </sheetView>
  </sheetViews>
  <sheetFormatPr baseColWidth="10" defaultColWidth="11" defaultRowHeight="12.75" x14ac:dyDescent="0.2"/>
  <cols>
    <col min="1" max="1" width="10.5" bestFit="1" customWidth="1"/>
    <col min="2" max="2" width="9.25" bestFit="1" customWidth="1"/>
    <col min="3" max="3" width="9" customWidth="1"/>
    <col min="4" max="4" width="8.25" customWidth="1"/>
    <col min="5" max="5" width="9.375" customWidth="1"/>
    <col min="6" max="6" width="9.25" customWidth="1"/>
    <col min="7" max="7" width="9.875" customWidth="1"/>
    <col min="8" max="8" width="9.375" customWidth="1"/>
    <col min="9" max="9" width="6.375" customWidth="1"/>
    <col min="10" max="10" width="8.375" customWidth="1"/>
    <col min="11" max="11" width="8.625" customWidth="1"/>
    <col min="12" max="12" width="7" customWidth="1"/>
    <col min="13" max="13" width="8.875" customWidth="1"/>
    <col min="14" max="14" width="11.5" customWidth="1"/>
    <col min="15" max="15" width="8.75" customWidth="1"/>
    <col min="16" max="16" width="17.25" bestFit="1" customWidth="1"/>
    <col min="17" max="17" width="39.125" customWidth="1"/>
    <col min="18" max="18" width="11" style="2"/>
    <col min="19" max="19" width="8" customWidth="1"/>
    <col min="20" max="20" width="12.375" customWidth="1"/>
    <col min="21" max="21" width="2.625" customWidth="1"/>
    <col min="22" max="22" width="33.75" customWidth="1"/>
    <col min="23" max="23" width="9.375" style="2" customWidth="1"/>
    <col min="24" max="24" width="9.25" customWidth="1"/>
    <col min="25" max="25" width="15" bestFit="1" customWidth="1"/>
    <col min="26" max="26" width="10.375" customWidth="1"/>
    <col min="27" max="27" width="14.5" bestFit="1" customWidth="1"/>
    <col min="28" max="28" width="11.375" customWidth="1"/>
    <col min="29" max="29" width="11.25" bestFit="1" customWidth="1"/>
    <col min="30" max="30" width="8.75" customWidth="1"/>
    <col min="31" max="31" width="12.875" customWidth="1"/>
    <col min="32" max="32" width="13.875" bestFit="1" customWidth="1"/>
    <col min="33" max="33" width="12.375" customWidth="1"/>
    <col min="34" max="34" width="9.25" customWidth="1"/>
    <col min="35" max="35" width="16.75" bestFit="1" customWidth="1"/>
    <col min="36" max="36" width="9.5" bestFit="1" customWidth="1"/>
    <col min="37" max="37" width="9.875" customWidth="1"/>
    <col min="38" max="38" width="10.75" customWidth="1"/>
  </cols>
  <sheetData>
    <row r="1" spans="1:57" ht="19.5" thickBot="1" x14ac:dyDescent="0.35">
      <c r="A1" s="123">
        <v>44561</v>
      </c>
      <c r="B1" s="124"/>
      <c r="C1" s="125" t="s">
        <v>22</v>
      </c>
      <c r="D1" s="125"/>
      <c r="E1" s="125"/>
      <c r="F1" s="126"/>
      <c r="G1" s="127" t="s">
        <v>23</v>
      </c>
      <c r="H1" s="127"/>
      <c r="I1" s="127"/>
      <c r="J1" s="127"/>
      <c r="K1" s="127"/>
      <c r="L1" s="128"/>
      <c r="M1" s="129" t="s">
        <v>6</v>
      </c>
      <c r="N1" s="129"/>
      <c r="O1" s="129"/>
      <c r="P1" s="130" t="s">
        <v>19</v>
      </c>
      <c r="Q1" s="131" t="s">
        <v>11</v>
      </c>
      <c r="R1" s="132" t="s">
        <v>12</v>
      </c>
      <c r="S1" s="133" t="s">
        <v>0</v>
      </c>
      <c r="T1" s="134" t="s">
        <v>13</v>
      </c>
      <c r="U1" s="124"/>
      <c r="V1" s="124"/>
      <c r="W1" s="135"/>
      <c r="X1" s="24"/>
      <c r="Y1" s="136" t="s">
        <v>25</v>
      </c>
      <c r="Z1" s="137" t="s">
        <v>5</v>
      </c>
      <c r="AA1" s="138" t="s">
        <v>26</v>
      </c>
      <c r="AB1" s="138" t="s">
        <v>27</v>
      </c>
      <c r="AC1" s="139" t="s">
        <v>15</v>
      </c>
      <c r="AD1" s="139" t="s">
        <v>16</v>
      </c>
      <c r="AE1" s="139" t="s">
        <v>12</v>
      </c>
      <c r="AF1" s="138" t="s">
        <v>28</v>
      </c>
      <c r="AG1" s="138" t="s">
        <v>29</v>
      </c>
      <c r="AH1" s="140" t="s">
        <v>5</v>
      </c>
      <c r="AI1" s="141" t="s">
        <v>30</v>
      </c>
      <c r="AJ1" s="24"/>
      <c r="AK1" s="301"/>
      <c r="AL1" s="24"/>
      <c r="AM1" s="302"/>
      <c r="AN1" s="16"/>
    </row>
    <row r="2" spans="1:57" s="2" customFormat="1" ht="19.5" thickBot="1" x14ac:dyDescent="0.35">
      <c r="A2" s="142" t="s">
        <v>5</v>
      </c>
      <c r="B2" s="143" t="s">
        <v>20</v>
      </c>
      <c r="C2" s="144">
        <v>6</v>
      </c>
      <c r="D2" s="145">
        <v>12</v>
      </c>
      <c r="E2" s="144">
        <v>21</v>
      </c>
      <c r="F2" s="146" t="s">
        <v>0</v>
      </c>
      <c r="G2" s="147" t="s">
        <v>24</v>
      </c>
      <c r="H2" s="148" t="s">
        <v>1</v>
      </c>
      <c r="I2" s="147" t="s">
        <v>21</v>
      </c>
      <c r="J2" s="147" t="s">
        <v>81</v>
      </c>
      <c r="K2" s="149" t="s">
        <v>2</v>
      </c>
      <c r="L2" s="150" t="s">
        <v>8</v>
      </c>
      <c r="M2" s="151" t="s">
        <v>7</v>
      </c>
      <c r="N2" s="152" t="s">
        <v>4</v>
      </c>
      <c r="O2" s="153" t="s">
        <v>3</v>
      </c>
      <c r="P2" s="154">
        <f>'JANV 2026'!P33</f>
        <v>250</v>
      </c>
      <c r="Q2" s="155"/>
      <c r="R2" s="156"/>
      <c r="S2" s="157"/>
      <c r="T2" s="158"/>
      <c r="U2" s="135"/>
      <c r="V2" s="159"/>
      <c r="W2" s="135"/>
      <c r="X2" s="24"/>
      <c r="Y2" s="160"/>
      <c r="Z2" s="161"/>
      <c r="AA2" s="24"/>
      <c r="AB2" s="162">
        <v>44592</v>
      </c>
      <c r="AC2" s="163"/>
      <c r="AD2" s="163"/>
      <c r="AE2" s="163"/>
      <c r="AF2" s="24"/>
      <c r="AG2" s="24"/>
      <c r="AH2" s="164"/>
      <c r="AI2" s="165"/>
      <c r="AJ2" s="24"/>
      <c r="AK2" s="163"/>
      <c r="AL2" s="24"/>
      <c r="AM2" s="302"/>
      <c r="AN2" s="16"/>
      <c r="AO2"/>
      <c r="AP2"/>
      <c r="AQ2" s="100"/>
      <c r="AR2" s="100"/>
      <c r="AS2" s="100"/>
      <c r="AT2" s="100"/>
      <c r="AU2" s="100"/>
      <c r="AV2" s="100"/>
      <c r="AW2" s="100"/>
      <c r="AX2"/>
      <c r="AZ2"/>
      <c r="BA2"/>
      <c r="BB2"/>
      <c r="BC2" s="20"/>
      <c r="BE2"/>
    </row>
    <row r="3" spans="1:57" ht="16.5" thickBot="1" x14ac:dyDescent="0.3">
      <c r="A3" s="166">
        <v>44592</v>
      </c>
      <c r="B3" s="167"/>
      <c r="C3" s="168"/>
      <c r="D3" s="168"/>
      <c r="E3" s="169"/>
      <c r="F3" s="170">
        <f>SUM(B3:E3)</f>
        <v>0</v>
      </c>
      <c r="G3" s="171">
        <f>F3</f>
        <v>0</v>
      </c>
      <c r="H3" s="168"/>
      <c r="I3" s="168"/>
      <c r="J3" s="169"/>
      <c r="K3" s="172">
        <f t="shared" ref="K3:K33" si="0">SUM(F3-H3-J3-I3)</f>
        <v>0</v>
      </c>
      <c r="L3" s="173">
        <f t="shared" ref="L3:L33" si="1">SUM(F3-H3-J3-I3)</f>
        <v>0</v>
      </c>
      <c r="M3" s="174"/>
      <c r="N3" s="175"/>
      <c r="O3" s="176">
        <f>SUM(L3-M3-N3+P2)</f>
        <v>250</v>
      </c>
      <c r="P3" s="177"/>
      <c r="Q3" s="178"/>
      <c r="R3" s="179"/>
      <c r="S3" s="180"/>
      <c r="T3" s="181"/>
      <c r="U3" s="124"/>
      <c r="V3" s="124"/>
      <c r="W3" s="135"/>
      <c r="X3" s="182">
        <v>1</v>
      </c>
      <c r="Y3" s="310"/>
      <c r="Z3" s="311"/>
      <c r="AA3" s="312"/>
      <c r="AB3" s="312"/>
      <c r="AC3" s="313"/>
      <c r="AD3" s="313"/>
      <c r="AE3" s="314">
        <f t="shared" ref="AE3:AE9" si="2">SUM(AC3:AD3)</f>
        <v>0</v>
      </c>
      <c r="AF3" s="312"/>
      <c r="AG3" s="312"/>
      <c r="AH3" s="315"/>
      <c r="AI3" s="316"/>
      <c r="AJ3" s="314">
        <v>0</v>
      </c>
      <c r="AK3" s="23"/>
      <c r="AL3" s="24"/>
      <c r="AM3" s="302"/>
      <c r="AN3" s="24"/>
      <c r="AQ3" s="100"/>
      <c r="AR3" s="59"/>
      <c r="AS3" s="59"/>
      <c r="AT3" s="59"/>
      <c r="AU3" s="59"/>
      <c r="AV3" s="59"/>
      <c r="AW3" s="100"/>
      <c r="AY3" s="2"/>
      <c r="AZ3" s="2"/>
      <c r="BA3" s="2"/>
      <c r="BB3" s="2"/>
      <c r="BC3" s="20"/>
      <c r="BD3" s="2"/>
    </row>
    <row r="4" spans="1:57" ht="16.5" thickBot="1" x14ac:dyDescent="0.3">
      <c r="A4" s="166">
        <v>44593</v>
      </c>
      <c r="B4" s="190"/>
      <c r="C4" s="179"/>
      <c r="D4" s="179"/>
      <c r="E4" s="175"/>
      <c r="F4" s="170">
        <f t="shared" ref="F4:F33" si="3">SUM(B4:E4)</f>
        <v>0</v>
      </c>
      <c r="G4" s="171">
        <f t="shared" ref="G4:G33" si="4">F4</f>
        <v>0</v>
      </c>
      <c r="H4" s="179"/>
      <c r="I4" s="191"/>
      <c r="J4" s="175"/>
      <c r="K4" s="192">
        <f t="shared" si="0"/>
        <v>0</v>
      </c>
      <c r="L4" s="193">
        <f t="shared" si="1"/>
        <v>0</v>
      </c>
      <c r="M4" s="174"/>
      <c r="N4" s="194"/>
      <c r="O4" s="195">
        <f>SUM(L4-M4-N4+O3+P4)</f>
        <v>250</v>
      </c>
      <c r="P4" s="196"/>
      <c r="Q4" s="197"/>
      <c r="R4" s="179"/>
      <c r="S4" s="198"/>
      <c r="T4" s="199"/>
      <c r="U4" s="124"/>
      <c r="V4" s="124"/>
      <c r="W4" s="135"/>
      <c r="X4" s="182">
        <v>2</v>
      </c>
      <c r="Y4" s="317"/>
      <c r="Z4" s="318"/>
      <c r="AA4" s="319"/>
      <c r="AB4" s="319"/>
      <c r="AC4" s="314"/>
      <c r="AD4" s="314"/>
      <c r="AE4" s="314">
        <f t="shared" si="2"/>
        <v>0</v>
      </c>
      <c r="AF4" s="319"/>
      <c r="AG4" s="319"/>
      <c r="AH4" s="315"/>
      <c r="AI4" s="316"/>
      <c r="AJ4" s="314">
        <f>AE4</f>
        <v>0</v>
      </c>
      <c r="AK4" s="25"/>
      <c r="AL4" s="124"/>
      <c r="AM4" s="124"/>
      <c r="AN4" s="28"/>
      <c r="AQ4" s="100"/>
      <c r="AR4" s="70"/>
      <c r="AS4" s="71"/>
      <c r="AT4" s="71"/>
      <c r="AU4" s="71"/>
      <c r="AV4" s="59"/>
      <c r="AW4" s="100"/>
      <c r="AY4" s="2"/>
      <c r="AZ4" s="2"/>
      <c r="BA4" s="12"/>
      <c r="BB4" s="2"/>
    </row>
    <row r="5" spans="1:57" ht="16.5" thickBot="1" x14ac:dyDescent="0.3">
      <c r="A5" s="166">
        <v>44594</v>
      </c>
      <c r="B5" s="190"/>
      <c r="C5" s="179"/>
      <c r="D5" s="179"/>
      <c r="E5" s="175"/>
      <c r="F5" s="170">
        <f t="shared" si="3"/>
        <v>0</v>
      </c>
      <c r="G5" s="171">
        <f t="shared" si="4"/>
        <v>0</v>
      </c>
      <c r="H5" s="179"/>
      <c r="I5" s="191"/>
      <c r="J5" s="175"/>
      <c r="K5" s="192">
        <f t="shared" si="0"/>
        <v>0</v>
      </c>
      <c r="L5" s="193">
        <f t="shared" si="1"/>
        <v>0</v>
      </c>
      <c r="M5" s="174"/>
      <c r="N5" s="194"/>
      <c r="O5" s="195">
        <f>SUM(L5-M5-N5+O4+P5)</f>
        <v>250</v>
      </c>
      <c r="P5" s="196"/>
      <c r="Q5" s="178"/>
      <c r="R5" s="179"/>
      <c r="S5" s="180"/>
      <c r="T5" s="181"/>
      <c r="U5" s="124"/>
      <c r="V5" s="124"/>
      <c r="W5" s="135"/>
      <c r="X5" s="182">
        <v>3</v>
      </c>
      <c r="Y5" s="317"/>
      <c r="Z5" s="318"/>
      <c r="AA5" s="319"/>
      <c r="AB5" s="319"/>
      <c r="AC5" s="313"/>
      <c r="AD5" s="313"/>
      <c r="AE5" s="314">
        <f t="shared" si="2"/>
        <v>0</v>
      </c>
      <c r="AF5" s="319"/>
      <c r="AG5" s="319"/>
      <c r="AH5" s="315"/>
      <c r="AI5" s="316"/>
      <c r="AJ5" s="314">
        <v>0</v>
      </c>
      <c r="AK5" s="25"/>
      <c r="AL5" s="124"/>
      <c r="AM5" s="124"/>
      <c r="AN5" s="32"/>
      <c r="AQ5" s="100"/>
      <c r="AR5" s="70"/>
      <c r="AS5" s="71"/>
      <c r="AT5" s="71"/>
      <c r="AU5" s="71"/>
      <c r="AV5" s="59"/>
      <c r="AW5" s="100"/>
      <c r="AY5" s="12"/>
      <c r="AZ5" s="2"/>
      <c r="BA5" s="12"/>
      <c r="BB5" s="2"/>
    </row>
    <row r="6" spans="1:57" ht="19.5" thickBot="1" x14ac:dyDescent="0.35">
      <c r="A6" s="166">
        <v>44595</v>
      </c>
      <c r="B6" s="190"/>
      <c r="C6" s="179"/>
      <c r="D6" s="179"/>
      <c r="E6" s="175"/>
      <c r="F6" s="170">
        <f t="shared" si="3"/>
        <v>0</v>
      </c>
      <c r="G6" s="171">
        <f t="shared" si="4"/>
        <v>0</v>
      </c>
      <c r="H6" s="179"/>
      <c r="I6" s="191"/>
      <c r="J6" s="175"/>
      <c r="K6" s="192">
        <f t="shared" si="0"/>
        <v>0</v>
      </c>
      <c r="L6" s="193">
        <f t="shared" si="1"/>
        <v>0</v>
      </c>
      <c r="M6" s="174"/>
      <c r="N6" s="194"/>
      <c r="O6" s="195">
        <f>SUM(L6-M6-N6+O5+P6)</f>
        <v>250</v>
      </c>
      <c r="P6" s="196"/>
      <c r="Q6" s="178"/>
      <c r="R6" s="179"/>
      <c r="S6" s="198"/>
      <c r="T6" s="199"/>
      <c r="U6" s="124"/>
      <c r="V6" s="124"/>
      <c r="W6" s="135"/>
      <c r="X6" s="182">
        <v>4</v>
      </c>
      <c r="Y6" s="310"/>
      <c r="Z6" s="311"/>
      <c r="AA6" s="312"/>
      <c r="AB6" s="320"/>
      <c r="AC6" s="313"/>
      <c r="AD6" s="313"/>
      <c r="AE6" s="314">
        <f t="shared" si="2"/>
        <v>0</v>
      </c>
      <c r="AF6" s="312"/>
      <c r="AG6" s="312"/>
      <c r="AH6" s="315"/>
      <c r="AI6" s="316"/>
      <c r="AJ6" s="314">
        <v>0</v>
      </c>
      <c r="AK6" s="301"/>
      <c r="AL6" s="124"/>
      <c r="AM6" s="124"/>
      <c r="AN6" s="34"/>
      <c r="AQ6" s="100"/>
      <c r="AR6" s="70"/>
      <c r="AS6" s="71"/>
      <c r="AT6" s="71"/>
      <c r="AU6" s="71"/>
      <c r="AV6" s="59"/>
      <c r="AW6" s="100"/>
      <c r="AY6" s="12"/>
      <c r="AZ6" s="2"/>
      <c r="BA6" s="12"/>
      <c r="BB6" s="2"/>
    </row>
    <row r="7" spans="1:57" ht="16.5" thickBot="1" x14ac:dyDescent="0.3">
      <c r="A7" s="166">
        <v>44596</v>
      </c>
      <c r="B7" s="190"/>
      <c r="C7" s="179"/>
      <c r="D7" s="179"/>
      <c r="E7" s="175"/>
      <c r="F7" s="170">
        <f t="shared" si="3"/>
        <v>0</v>
      </c>
      <c r="G7" s="171">
        <f t="shared" si="4"/>
        <v>0</v>
      </c>
      <c r="H7" s="179"/>
      <c r="I7" s="191"/>
      <c r="J7" s="175"/>
      <c r="K7" s="192">
        <f t="shared" si="0"/>
        <v>0</v>
      </c>
      <c r="L7" s="193">
        <f t="shared" si="1"/>
        <v>0</v>
      </c>
      <c r="M7" s="174"/>
      <c r="N7" s="194"/>
      <c r="O7" s="195">
        <f>SUM(L7-M7-N7+O6+P7)</f>
        <v>250</v>
      </c>
      <c r="P7" s="196"/>
      <c r="Q7" s="178"/>
      <c r="R7" s="179"/>
      <c r="S7" s="180"/>
      <c r="T7" s="199"/>
      <c r="U7" s="124"/>
      <c r="V7" s="124"/>
      <c r="W7" s="135"/>
      <c r="X7" s="182">
        <v>5</v>
      </c>
      <c r="Y7" s="317"/>
      <c r="Z7" s="318"/>
      <c r="AA7" s="319"/>
      <c r="AB7" s="319"/>
      <c r="AC7" s="314"/>
      <c r="AD7" s="314"/>
      <c r="AE7" s="314">
        <f t="shared" si="2"/>
        <v>0</v>
      </c>
      <c r="AF7" s="319"/>
      <c r="AG7" s="312"/>
      <c r="AH7" s="315"/>
      <c r="AI7" s="316"/>
      <c r="AJ7" s="314">
        <v>0</v>
      </c>
      <c r="AK7" s="23"/>
      <c r="AL7" s="124"/>
      <c r="AM7" s="124"/>
      <c r="AN7" s="24"/>
      <c r="AQ7" s="100"/>
      <c r="AR7" s="70"/>
      <c r="AS7" s="59"/>
      <c r="AT7" s="59"/>
      <c r="AU7" s="71"/>
      <c r="AV7" s="59"/>
      <c r="AW7" s="100"/>
      <c r="AY7" s="2"/>
      <c r="AZ7" s="2"/>
      <c r="BA7" s="12"/>
      <c r="BB7" s="2"/>
    </row>
    <row r="8" spans="1:57" ht="19.5" thickBot="1" x14ac:dyDescent="0.35">
      <c r="A8" s="166">
        <v>44597</v>
      </c>
      <c r="B8" s="190"/>
      <c r="C8" s="179"/>
      <c r="D8" s="179"/>
      <c r="E8" s="175"/>
      <c r="F8" s="170">
        <f t="shared" si="3"/>
        <v>0</v>
      </c>
      <c r="G8" s="171">
        <f t="shared" si="4"/>
        <v>0</v>
      </c>
      <c r="H8" s="179"/>
      <c r="I8" s="191"/>
      <c r="J8" s="175"/>
      <c r="K8" s="192">
        <f t="shared" si="0"/>
        <v>0</v>
      </c>
      <c r="L8" s="193">
        <f t="shared" si="1"/>
        <v>0</v>
      </c>
      <c r="M8" s="209"/>
      <c r="N8" s="194"/>
      <c r="O8" s="195">
        <f>SUM(L8-M8-N8+O7+P8)</f>
        <v>250</v>
      </c>
      <c r="P8" s="196"/>
      <c r="Q8" s="178"/>
      <c r="R8" s="179"/>
      <c r="S8" s="180"/>
      <c r="T8" s="199"/>
      <c r="U8" s="124"/>
      <c r="V8" s="124"/>
      <c r="W8" s="135"/>
      <c r="X8" s="182">
        <v>6</v>
      </c>
      <c r="Y8" s="310"/>
      <c r="Z8" s="311"/>
      <c r="AA8" s="312"/>
      <c r="AB8" s="312"/>
      <c r="AC8" s="313"/>
      <c r="AD8" s="313"/>
      <c r="AE8" s="314">
        <f t="shared" si="2"/>
        <v>0</v>
      </c>
      <c r="AF8" s="319"/>
      <c r="AG8" s="312"/>
      <c r="AH8" s="315"/>
      <c r="AI8" s="316"/>
      <c r="AJ8" s="314">
        <v>0</v>
      </c>
      <c r="AK8" s="163"/>
      <c r="AL8" s="124"/>
      <c r="AM8" s="124"/>
      <c r="AN8" s="34"/>
      <c r="AQ8" s="100"/>
      <c r="AR8" s="59"/>
      <c r="AS8" s="71"/>
      <c r="AT8" s="71"/>
      <c r="AU8" s="71"/>
      <c r="AV8" s="59"/>
      <c r="AW8" s="100"/>
      <c r="AY8" s="2"/>
      <c r="AZ8" s="2"/>
      <c r="BA8" s="2"/>
      <c r="BB8" s="2"/>
    </row>
    <row r="9" spans="1:57" ht="16.5" thickBot="1" x14ac:dyDescent="0.3">
      <c r="A9" s="166">
        <v>44598</v>
      </c>
      <c r="B9" s="190"/>
      <c r="C9" s="179"/>
      <c r="D9" s="179"/>
      <c r="E9" s="175"/>
      <c r="F9" s="170">
        <f t="shared" si="3"/>
        <v>0</v>
      </c>
      <c r="G9" s="171">
        <f t="shared" si="4"/>
        <v>0</v>
      </c>
      <c r="H9" s="179"/>
      <c r="I9" s="191"/>
      <c r="J9" s="175"/>
      <c r="K9" s="192">
        <f t="shared" si="0"/>
        <v>0</v>
      </c>
      <c r="L9" s="193">
        <f t="shared" si="1"/>
        <v>0</v>
      </c>
      <c r="M9" s="174"/>
      <c r="N9" s="194"/>
      <c r="O9" s="195">
        <f t="shared" ref="O9:O33" si="5">SUM(L9-M9-N9+O8)</f>
        <v>250</v>
      </c>
      <c r="P9" s="196"/>
      <c r="Q9" s="178"/>
      <c r="R9" s="179"/>
      <c r="S9" s="180"/>
      <c r="T9" s="199"/>
      <c r="U9" s="124"/>
      <c r="V9" s="124"/>
      <c r="W9" s="135"/>
      <c r="X9" s="182">
        <v>7</v>
      </c>
      <c r="Y9" s="200"/>
      <c r="Z9" s="201"/>
      <c r="AA9" s="182"/>
      <c r="AB9" s="182"/>
      <c r="AC9" s="210"/>
      <c r="AD9" s="210"/>
      <c r="AE9" s="108">
        <f t="shared" si="2"/>
        <v>0</v>
      </c>
      <c r="AF9" s="182"/>
      <c r="AG9" s="182"/>
      <c r="AH9" s="202"/>
      <c r="AI9" s="203"/>
      <c r="AJ9" s="108">
        <f>AE9</f>
        <v>0</v>
      </c>
      <c r="AK9" s="163"/>
      <c r="AL9" s="124"/>
      <c r="AM9" s="124"/>
      <c r="AN9" s="24"/>
      <c r="AQ9" s="100"/>
      <c r="AR9" s="70"/>
      <c r="AS9" s="59"/>
      <c r="AT9" s="59"/>
      <c r="AU9" s="59"/>
      <c r="AV9" s="59"/>
      <c r="AW9" s="100"/>
      <c r="AY9" s="2"/>
      <c r="AZ9" s="2"/>
      <c r="BA9" s="2"/>
      <c r="BB9" s="2"/>
    </row>
    <row r="10" spans="1:57" ht="19.5" thickBot="1" x14ac:dyDescent="0.35">
      <c r="A10" s="166">
        <v>44599</v>
      </c>
      <c r="B10" s="190"/>
      <c r="C10" s="179"/>
      <c r="D10" s="179"/>
      <c r="E10" s="175"/>
      <c r="F10" s="170">
        <f t="shared" si="3"/>
        <v>0</v>
      </c>
      <c r="G10" s="171">
        <f t="shared" si="4"/>
        <v>0</v>
      </c>
      <c r="H10" s="179"/>
      <c r="I10" s="191"/>
      <c r="J10" s="175"/>
      <c r="K10" s="192">
        <f t="shared" si="0"/>
        <v>0</v>
      </c>
      <c r="L10" s="193">
        <f t="shared" si="1"/>
        <v>0</v>
      </c>
      <c r="M10" s="174"/>
      <c r="N10" s="194"/>
      <c r="O10" s="195">
        <f t="shared" si="5"/>
        <v>250</v>
      </c>
      <c r="P10" s="196"/>
      <c r="Q10" s="178"/>
      <c r="R10" s="179"/>
      <c r="S10" s="180"/>
      <c r="T10" s="199"/>
      <c r="U10" s="124"/>
      <c r="V10" s="124"/>
      <c r="W10" s="135"/>
      <c r="X10" s="182">
        <v>8</v>
      </c>
      <c r="Y10" s="200"/>
      <c r="Z10" s="201"/>
      <c r="AA10" s="182"/>
      <c r="AB10" s="182"/>
      <c r="AC10" s="210"/>
      <c r="AD10" s="210"/>
      <c r="AE10" s="108">
        <f t="shared" ref="AE10:AE29" si="6">SUM(AC10:AD10)</f>
        <v>0</v>
      </c>
      <c r="AF10" s="182"/>
      <c r="AG10" s="182"/>
      <c r="AH10" s="202"/>
      <c r="AI10" s="203"/>
      <c r="AJ10" s="108">
        <f t="shared" ref="AJ10:AJ29" si="7">AE10</f>
        <v>0</v>
      </c>
      <c r="AK10" s="163"/>
      <c r="AL10" s="124"/>
      <c r="AM10" s="124"/>
      <c r="AN10" s="22"/>
      <c r="AQ10" s="100"/>
      <c r="AR10" s="59"/>
      <c r="AS10" s="59"/>
      <c r="AT10" s="59"/>
      <c r="AU10" s="59"/>
      <c r="AV10" s="59"/>
      <c r="AW10" s="100"/>
      <c r="AY10" s="2"/>
      <c r="AZ10" s="2"/>
      <c r="BA10" s="2"/>
      <c r="BB10" s="2"/>
    </row>
    <row r="11" spans="1:57" ht="19.5" thickBot="1" x14ac:dyDescent="0.35">
      <c r="A11" s="166">
        <v>44600</v>
      </c>
      <c r="B11" s="190"/>
      <c r="C11" s="179"/>
      <c r="D11" s="179"/>
      <c r="E11" s="175"/>
      <c r="F11" s="170">
        <f t="shared" si="3"/>
        <v>0</v>
      </c>
      <c r="G11" s="171">
        <f t="shared" si="4"/>
        <v>0</v>
      </c>
      <c r="H11" s="179"/>
      <c r="I11" s="191"/>
      <c r="J11" s="175"/>
      <c r="K11" s="192">
        <f t="shared" si="0"/>
        <v>0</v>
      </c>
      <c r="L11" s="193">
        <f t="shared" si="1"/>
        <v>0</v>
      </c>
      <c r="M11" s="174"/>
      <c r="N11" s="194"/>
      <c r="O11" s="195">
        <f t="shared" si="5"/>
        <v>250</v>
      </c>
      <c r="P11" s="196"/>
      <c r="Q11" s="211"/>
      <c r="R11" s="212"/>
      <c r="S11" s="198"/>
      <c r="T11" s="213"/>
      <c r="U11" s="124"/>
      <c r="V11" s="124"/>
      <c r="W11" s="135"/>
      <c r="X11" s="182">
        <v>9</v>
      </c>
      <c r="Y11" s="200"/>
      <c r="Z11" s="201"/>
      <c r="AA11" s="182"/>
      <c r="AB11" s="182"/>
      <c r="AC11" s="108"/>
      <c r="AD11" s="108"/>
      <c r="AE11" s="108">
        <f t="shared" si="6"/>
        <v>0</v>
      </c>
      <c r="AF11" s="182"/>
      <c r="AG11" s="182"/>
      <c r="AH11" s="202"/>
      <c r="AI11" s="203"/>
      <c r="AJ11" s="108">
        <f t="shared" si="7"/>
        <v>0</v>
      </c>
      <c r="AK11" s="163"/>
      <c r="AL11" s="124"/>
      <c r="AM11" s="124"/>
      <c r="AN11" s="22"/>
      <c r="AQ11" s="100"/>
      <c r="AR11" s="59"/>
      <c r="AS11" s="59"/>
      <c r="AT11" s="59"/>
      <c r="AU11" s="59"/>
      <c r="AV11" s="75"/>
      <c r="AW11" s="100"/>
      <c r="AY11" s="2"/>
      <c r="AZ11" s="2"/>
      <c r="BA11" s="2"/>
      <c r="BB11" s="2"/>
    </row>
    <row r="12" spans="1:57" ht="19.5" thickBot="1" x14ac:dyDescent="0.35">
      <c r="A12" s="166">
        <v>44601</v>
      </c>
      <c r="B12" s="190"/>
      <c r="C12" s="179"/>
      <c r="D12" s="179"/>
      <c r="E12" s="175"/>
      <c r="F12" s="170">
        <f t="shared" si="3"/>
        <v>0</v>
      </c>
      <c r="G12" s="171">
        <f t="shared" si="4"/>
        <v>0</v>
      </c>
      <c r="H12" s="179"/>
      <c r="I12" s="191"/>
      <c r="J12" s="175"/>
      <c r="K12" s="192">
        <f t="shared" si="0"/>
        <v>0</v>
      </c>
      <c r="L12" s="193">
        <f t="shared" si="1"/>
        <v>0</v>
      </c>
      <c r="M12" s="214"/>
      <c r="N12" s="194"/>
      <c r="O12" s="195">
        <f t="shared" si="5"/>
        <v>250</v>
      </c>
      <c r="P12" s="196"/>
      <c r="Q12" s="211"/>
      <c r="R12" s="212"/>
      <c r="S12" s="198"/>
      <c r="T12" s="213"/>
      <c r="U12" s="124"/>
      <c r="V12" s="124"/>
      <c r="W12" s="135"/>
      <c r="X12" s="182">
        <v>10</v>
      </c>
      <c r="Y12" s="200"/>
      <c r="Z12" s="201"/>
      <c r="AA12" s="182"/>
      <c r="AB12" s="182"/>
      <c r="AC12" s="108"/>
      <c r="AD12" s="108"/>
      <c r="AE12" s="108">
        <f t="shared" si="6"/>
        <v>0</v>
      </c>
      <c r="AF12" s="182"/>
      <c r="AG12" s="182"/>
      <c r="AH12" s="202"/>
      <c r="AI12" s="203"/>
      <c r="AJ12" s="108">
        <f t="shared" si="7"/>
        <v>0</v>
      </c>
      <c r="AK12" s="163"/>
      <c r="AL12" s="124"/>
      <c r="AM12" s="124"/>
      <c r="AN12" s="22"/>
      <c r="AQ12" s="100"/>
      <c r="AR12" s="75"/>
      <c r="AS12" s="59"/>
      <c r="AT12" s="59"/>
      <c r="AU12" s="59"/>
      <c r="AV12" s="75"/>
      <c r="AW12" s="100"/>
      <c r="AY12" s="2"/>
      <c r="AZ12" s="2"/>
      <c r="BA12" s="2"/>
      <c r="BB12" s="2"/>
    </row>
    <row r="13" spans="1:57" ht="19.5" thickBot="1" x14ac:dyDescent="0.35">
      <c r="A13" s="166">
        <v>44602</v>
      </c>
      <c r="B13" s="190"/>
      <c r="C13" s="179"/>
      <c r="D13" s="179"/>
      <c r="E13" s="175"/>
      <c r="F13" s="170">
        <f t="shared" si="3"/>
        <v>0</v>
      </c>
      <c r="G13" s="171">
        <f t="shared" si="4"/>
        <v>0</v>
      </c>
      <c r="H13" s="179"/>
      <c r="I13" s="191"/>
      <c r="J13" s="175"/>
      <c r="K13" s="192">
        <f t="shared" si="0"/>
        <v>0</v>
      </c>
      <c r="L13" s="193">
        <f t="shared" si="1"/>
        <v>0</v>
      </c>
      <c r="M13" s="174"/>
      <c r="N13" s="194"/>
      <c r="O13" s="195">
        <f t="shared" si="5"/>
        <v>250</v>
      </c>
      <c r="P13" s="196"/>
      <c r="Q13" s="215"/>
      <c r="R13" s="212"/>
      <c r="S13" s="198"/>
      <c r="T13" s="199"/>
      <c r="U13" s="124"/>
      <c r="V13" s="124"/>
      <c r="W13" s="135"/>
      <c r="X13" s="182">
        <v>11</v>
      </c>
      <c r="Y13" s="200"/>
      <c r="Z13" s="201"/>
      <c r="AA13" s="182"/>
      <c r="AB13" s="182"/>
      <c r="AC13" s="108"/>
      <c r="AD13" s="108"/>
      <c r="AE13" s="108">
        <f t="shared" si="6"/>
        <v>0</v>
      </c>
      <c r="AF13" s="182"/>
      <c r="AG13" s="216"/>
      <c r="AH13" s="202"/>
      <c r="AI13" s="203"/>
      <c r="AJ13" s="108">
        <f t="shared" si="7"/>
        <v>0</v>
      </c>
      <c r="AK13" s="301"/>
      <c r="AL13" s="124"/>
      <c r="AM13" s="124"/>
      <c r="AN13" s="16"/>
      <c r="AQ13" s="100"/>
      <c r="AR13" s="75"/>
      <c r="AS13" s="59"/>
      <c r="AT13" s="59"/>
      <c r="AU13" s="59"/>
      <c r="AV13" s="75"/>
      <c r="AW13" s="100"/>
    </row>
    <row r="14" spans="1:57" ht="19.5" thickBot="1" x14ac:dyDescent="0.35">
      <c r="A14" s="166">
        <v>44603</v>
      </c>
      <c r="B14" s="190"/>
      <c r="C14" s="179"/>
      <c r="D14" s="179"/>
      <c r="E14" s="175"/>
      <c r="F14" s="170">
        <f t="shared" si="3"/>
        <v>0</v>
      </c>
      <c r="G14" s="171">
        <f t="shared" si="4"/>
        <v>0</v>
      </c>
      <c r="H14" s="179"/>
      <c r="I14" s="191"/>
      <c r="J14" s="175"/>
      <c r="K14" s="192">
        <f t="shared" si="0"/>
        <v>0</v>
      </c>
      <c r="L14" s="193">
        <f t="shared" si="1"/>
        <v>0</v>
      </c>
      <c r="M14" s="174"/>
      <c r="N14" s="194"/>
      <c r="O14" s="195">
        <f t="shared" si="5"/>
        <v>250</v>
      </c>
      <c r="P14" s="196"/>
      <c r="Q14" s="215"/>
      <c r="R14" s="212"/>
      <c r="S14" s="198"/>
      <c r="T14" s="199"/>
      <c r="U14" s="124"/>
      <c r="V14" s="124"/>
      <c r="W14" s="135"/>
      <c r="X14" s="182">
        <v>12</v>
      </c>
      <c r="Y14" s="217"/>
      <c r="Z14" s="201"/>
      <c r="AA14" s="182"/>
      <c r="AB14" s="182"/>
      <c r="AC14" s="210"/>
      <c r="AD14" s="210"/>
      <c r="AE14" s="108">
        <f t="shared" si="6"/>
        <v>0</v>
      </c>
      <c r="AF14" s="182"/>
      <c r="AG14" s="216"/>
      <c r="AH14" s="202"/>
      <c r="AI14" s="203"/>
      <c r="AJ14" s="108">
        <f t="shared" si="7"/>
        <v>0</v>
      </c>
      <c r="AK14" s="301"/>
      <c r="AL14" s="124"/>
      <c r="AM14" s="124"/>
      <c r="AN14" s="16"/>
      <c r="AO14" s="4"/>
      <c r="AQ14" s="100"/>
      <c r="AR14" s="59"/>
      <c r="AS14" s="59"/>
      <c r="AT14" s="59"/>
      <c r="AU14" s="59"/>
      <c r="AV14" s="75"/>
      <c r="AW14" s="100"/>
    </row>
    <row r="15" spans="1:57" ht="19.5" thickBot="1" x14ac:dyDescent="0.35">
      <c r="A15" s="166">
        <v>44604</v>
      </c>
      <c r="B15" s="190"/>
      <c r="C15" s="179"/>
      <c r="D15" s="179"/>
      <c r="E15" s="175"/>
      <c r="F15" s="170">
        <f t="shared" si="3"/>
        <v>0</v>
      </c>
      <c r="G15" s="171">
        <f t="shared" si="4"/>
        <v>0</v>
      </c>
      <c r="H15" s="179"/>
      <c r="I15" s="191"/>
      <c r="J15" s="175"/>
      <c r="K15" s="192">
        <f t="shared" si="0"/>
        <v>0</v>
      </c>
      <c r="L15" s="193">
        <f t="shared" si="1"/>
        <v>0</v>
      </c>
      <c r="M15" s="174"/>
      <c r="N15" s="194"/>
      <c r="O15" s="195">
        <f t="shared" si="5"/>
        <v>250</v>
      </c>
      <c r="P15" s="196"/>
      <c r="Q15" s="218"/>
      <c r="R15" s="179"/>
      <c r="S15" s="180"/>
      <c r="T15" s="199"/>
      <c r="U15" s="124"/>
      <c r="V15" s="124"/>
      <c r="W15" s="135"/>
      <c r="X15" s="182">
        <v>13</v>
      </c>
      <c r="Y15" s="200"/>
      <c r="Z15" s="201"/>
      <c r="AA15" s="182"/>
      <c r="AB15" s="182"/>
      <c r="AC15" s="210"/>
      <c r="AD15" s="210"/>
      <c r="AE15" s="108">
        <f t="shared" si="6"/>
        <v>0</v>
      </c>
      <c r="AF15" s="182"/>
      <c r="AG15" s="182"/>
      <c r="AH15" s="202"/>
      <c r="AI15" s="203"/>
      <c r="AJ15" s="108">
        <f t="shared" si="7"/>
        <v>0</v>
      </c>
      <c r="AK15" s="301"/>
      <c r="AL15" s="124"/>
      <c r="AM15" s="124"/>
      <c r="AN15" s="16"/>
      <c r="AQ15" s="100"/>
      <c r="AR15" s="59"/>
      <c r="AS15" s="59"/>
      <c r="AT15" s="59"/>
      <c r="AU15" s="59"/>
      <c r="AV15" s="75"/>
      <c r="AW15" s="100"/>
    </row>
    <row r="16" spans="1:57" ht="19.5" thickBot="1" x14ac:dyDescent="0.35">
      <c r="A16" s="166">
        <v>44605</v>
      </c>
      <c r="B16" s="190"/>
      <c r="C16" s="179"/>
      <c r="D16" s="179"/>
      <c r="E16" s="175"/>
      <c r="F16" s="170">
        <f t="shared" si="3"/>
        <v>0</v>
      </c>
      <c r="G16" s="171">
        <f t="shared" si="4"/>
        <v>0</v>
      </c>
      <c r="H16" s="179"/>
      <c r="I16" s="191"/>
      <c r="J16" s="175"/>
      <c r="K16" s="192">
        <f t="shared" si="0"/>
        <v>0</v>
      </c>
      <c r="L16" s="193">
        <f t="shared" si="1"/>
        <v>0</v>
      </c>
      <c r="M16" s="209"/>
      <c r="N16" s="194"/>
      <c r="O16" s="195">
        <f t="shared" si="5"/>
        <v>250</v>
      </c>
      <c r="P16" s="196"/>
      <c r="Q16" s="219"/>
      <c r="R16" s="179"/>
      <c r="S16" s="180"/>
      <c r="T16" s="199"/>
      <c r="U16" s="124"/>
      <c r="V16" s="124"/>
      <c r="W16" s="135"/>
      <c r="X16" s="182">
        <v>14</v>
      </c>
      <c r="Y16" s="200"/>
      <c r="Z16" s="201"/>
      <c r="AA16" s="182"/>
      <c r="AB16" s="182"/>
      <c r="AC16" s="210"/>
      <c r="AD16" s="210"/>
      <c r="AE16" s="108">
        <f t="shared" si="6"/>
        <v>0</v>
      </c>
      <c r="AF16" s="182"/>
      <c r="AG16" s="182"/>
      <c r="AH16" s="202"/>
      <c r="AI16" s="203"/>
      <c r="AJ16" s="108">
        <f t="shared" si="7"/>
        <v>0</v>
      </c>
      <c r="AK16" s="301"/>
      <c r="AL16" s="124"/>
      <c r="AM16" s="124"/>
      <c r="AN16" s="16"/>
      <c r="AQ16" s="100"/>
      <c r="AR16" s="59"/>
      <c r="AS16" s="59"/>
      <c r="AT16" s="59"/>
      <c r="AU16" s="59"/>
      <c r="AV16" s="75"/>
      <c r="AW16" s="100"/>
    </row>
    <row r="17" spans="1:54" ht="19.5" thickBot="1" x14ac:dyDescent="0.35">
      <c r="A17" s="166">
        <v>44606</v>
      </c>
      <c r="B17" s="190"/>
      <c r="C17" s="179"/>
      <c r="D17" s="179"/>
      <c r="E17" s="175"/>
      <c r="F17" s="170">
        <f t="shared" si="3"/>
        <v>0</v>
      </c>
      <c r="G17" s="171">
        <f t="shared" si="4"/>
        <v>0</v>
      </c>
      <c r="H17" s="179"/>
      <c r="I17" s="191"/>
      <c r="J17" s="175"/>
      <c r="K17" s="192">
        <f t="shared" si="0"/>
        <v>0</v>
      </c>
      <c r="L17" s="193">
        <f t="shared" si="1"/>
        <v>0</v>
      </c>
      <c r="M17" s="209"/>
      <c r="N17" s="194"/>
      <c r="O17" s="195">
        <f>SUM(L17-M17-N17+O16+P17)</f>
        <v>250</v>
      </c>
      <c r="P17" s="196"/>
      <c r="Q17" s="218"/>
      <c r="R17" s="179"/>
      <c r="S17" s="180"/>
      <c r="T17" s="199"/>
      <c r="U17" s="124"/>
      <c r="V17" s="124"/>
      <c r="W17" s="135"/>
      <c r="X17" s="182">
        <v>15</v>
      </c>
      <c r="Y17" s="200"/>
      <c r="Z17" s="201"/>
      <c r="AA17" s="182"/>
      <c r="AB17" s="182"/>
      <c r="AC17" s="210"/>
      <c r="AD17" s="210"/>
      <c r="AE17" s="108">
        <f t="shared" si="6"/>
        <v>0</v>
      </c>
      <c r="AF17" s="182"/>
      <c r="AG17" s="216"/>
      <c r="AH17" s="202"/>
      <c r="AI17" s="203"/>
      <c r="AJ17" s="108">
        <f t="shared" si="7"/>
        <v>0</v>
      </c>
      <c r="AK17" s="301"/>
      <c r="AL17" s="124"/>
      <c r="AM17" s="124"/>
      <c r="AN17" s="16"/>
      <c r="AQ17" s="100"/>
      <c r="AR17" s="59"/>
      <c r="AS17" s="59"/>
      <c r="AT17" s="59"/>
      <c r="AU17" s="59"/>
      <c r="AV17" s="75"/>
      <c r="AW17" s="100"/>
    </row>
    <row r="18" spans="1:54" ht="19.5" thickBot="1" x14ac:dyDescent="0.35">
      <c r="A18" s="166">
        <v>44607</v>
      </c>
      <c r="B18" s="190"/>
      <c r="C18" s="179"/>
      <c r="D18" s="179"/>
      <c r="E18" s="175"/>
      <c r="F18" s="170">
        <f t="shared" si="3"/>
        <v>0</v>
      </c>
      <c r="G18" s="171">
        <f t="shared" si="4"/>
        <v>0</v>
      </c>
      <c r="H18" s="179"/>
      <c r="I18" s="191"/>
      <c r="J18" s="175"/>
      <c r="K18" s="192">
        <f t="shared" si="0"/>
        <v>0</v>
      </c>
      <c r="L18" s="193">
        <f t="shared" si="1"/>
        <v>0</v>
      </c>
      <c r="M18" s="174"/>
      <c r="N18" s="220"/>
      <c r="O18" s="195">
        <f>SUM(L18-M18-N18+O17+P18)</f>
        <v>250</v>
      </c>
      <c r="P18" s="196"/>
      <c r="Q18" s="218"/>
      <c r="R18" s="179"/>
      <c r="S18" s="180"/>
      <c r="T18" s="199"/>
      <c r="U18" s="124"/>
      <c r="V18" s="124"/>
      <c r="W18" s="135"/>
      <c r="X18" s="182">
        <v>16</v>
      </c>
      <c r="Y18" s="200"/>
      <c r="Z18" s="201"/>
      <c r="AA18" s="182"/>
      <c r="AB18" s="182"/>
      <c r="AC18" s="108"/>
      <c r="AD18" s="108"/>
      <c r="AE18" s="108">
        <f t="shared" si="6"/>
        <v>0</v>
      </c>
      <c r="AF18" s="182"/>
      <c r="AG18" s="182"/>
      <c r="AH18" s="202"/>
      <c r="AI18" s="203"/>
      <c r="AJ18" s="108">
        <f t="shared" si="7"/>
        <v>0</v>
      </c>
      <c r="AK18" s="301"/>
      <c r="AL18" s="124"/>
      <c r="AM18" s="124"/>
      <c r="AN18" s="16"/>
      <c r="AQ18" s="100"/>
      <c r="AR18" s="59"/>
      <c r="AS18" s="59"/>
      <c r="AT18" s="59"/>
      <c r="AU18" s="59"/>
      <c r="AV18" s="59"/>
      <c r="AW18" s="100"/>
    </row>
    <row r="19" spans="1:54" ht="19.5" thickBot="1" x14ac:dyDescent="0.35">
      <c r="A19" s="166">
        <v>44608</v>
      </c>
      <c r="B19" s="190"/>
      <c r="C19" s="179"/>
      <c r="D19" s="179"/>
      <c r="E19" s="175"/>
      <c r="F19" s="170">
        <f t="shared" si="3"/>
        <v>0</v>
      </c>
      <c r="G19" s="171">
        <f t="shared" si="4"/>
        <v>0</v>
      </c>
      <c r="H19" s="179"/>
      <c r="I19" s="191"/>
      <c r="J19" s="175"/>
      <c r="K19" s="192">
        <f t="shared" si="0"/>
        <v>0</v>
      </c>
      <c r="L19" s="193">
        <f t="shared" si="1"/>
        <v>0</v>
      </c>
      <c r="M19" s="174"/>
      <c r="N19" s="194"/>
      <c r="O19" s="195">
        <f>SUM(L19-M19-N19+O18+P19)</f>
        <v>250</v>
      </c>
      <c r="P19" s="196"/>
      <c r="Q19" s="218"/>
      <c r="R19" s="179"/>
      <c r="S19" s="180"/>
      <c r="T19" s="199"/>
      <c r="U19" s="124"/>
      <c r="V19" s="124"/>
      <c r="W19" s="135"/>
      <c r="X19" s="182">
        <v>17</v>
      </c>
      <c r="Y19" s="200"/>
      <c r="Z19" s="201"/>
      <c r="AA19" s="182"/>
      <c r="AB19" s="182"/>
      <c r="AC19" s="210"/>
      <c r="AD19" s="210"/>
      <c r="AE19" s="108">
        <f t="shared" si="6"/>
        <v>0</v>
      </c>
      <c r="AF19" s="208"/>
      <c r="AG19" s="182"/>
      <c r="AH19" s="202"/>
      <c r="AI19" s="203"/>
      <c r="AJ19" s="108">
        <f t="shared" si="7"/>
        <v>0</v>
      </c>
      <c r="AK19" s="301"/>
      <c r="AL19" s="124"/>
      <c r="AM19" s="124"/>
      <c r="AN19" s="16"/>
      <c r="AQ19" s="100"/>
      <c r="AR19" s="59"/>
      <c r="AS19" s="59"/>
      <c r="AT19" s="59"/>
      <c r="AU19" s="59"/>
      <c r="AV19" s="59"/>
      <c r="AW19" s="100"/>
    </row>
    <row r="20" spans="1:54" ht="19.5" thickBot="1" x14ac:dyDescent="0.35">
      <c r="A20" s="166">
        <v>44609</v>
      </c>
      <c r="B20" s="190"/>
      <c r="C20" s="179"/>
      <c r="D20" s="179"/>
      <c r="E20" s="175"/>
      <c r="F20" s="170">
        <f t="shared" si="3"/>
        <v>0</v>
      </c>
      <c r="G20" s="171">
        <f t="shared" si="4"/>
        <v>0</v>
      </c>
      <c r="H20" s="179"/>
      <c r="I20" s="191"/>
      <c r="J20" s="175"/>
      <c r="K20" s="192">
        <f t="shared" si="0"/>
        <v>0</v>
      </c>
      <c r="L20" s="193">
        <f t="shared" si="1"/>
        <v>0</v>
      </c>
      <c r="M20" s="174"/>
      <c r="N20" s="194"/>
      <c r="O20" s="195">
        <f>SUM(L20-M20-N20+O19+P20)</f>
        <v>250</v>
      </c>
      <c r="P20" s="196"/>
      <c r="Q20" s="218"/>
      <c r="R20" s="179"/>
      <c r="S20" s="180"/>
      <c r="T20" s="199"/>
      <c r="U20" s="124"/>
      <c r="V20" s="124"/>
      <c r="W20" s="135"/>
      <c r="X20" s="182">
        <v>18</v>
      </c>
      <c r="Y20" s="200"/>
      <c r="Z20" s="201"/>
      <c r="AA20" s="182"/>
      <c r="AB20" s="182"/>
      <c r="AC20" s="210"/>
      <c r="AD20" s="210"/>
      <c r="AE20" s="108">
        <f t="shared" si="6"/>
        <v>0</v>
      </c>
      <c r="AF20" s="182"/>
      <c r="AG20" s="216"/>
      <c r="AH20" s="202"/>
      <c r="AI20" s="203"/>
      <c r="AJ20" s="108">
        <f t="shared" si="7"/>
        <v>0</v>
      </c>
      <c r="AK20" s="301"/>
      <c r="AL20" s="124"/>
      <c r="AM20" s="124"/>
      <c r="AN20" s="22"/>
      <c r="AQ20" s="100"/>
      <c r="AR20" s="59"/>
      <c r="AS20" s="59"/>
      <c r="AT20" s="59"/>
      <c r="AU20" s="59"/>
      <c r="AV20" s="59"/>
      <c r="AW20" s="100"/>
    </row>
    <row r="21" spans="1:54" ht="19.5" thickBot="1" x14ac:dyDescent="0.35">
      <c r="A21" s="166">
        <v>44610</v>
      </c>
      <c r="B21" s="190"/>
      <c r="C21" s="179"/>
      <c r="D21" s="179"/>
      <c r="E21" s="175"/>
      <c r="F21" s="170">
        <f t="shared" si="3"/>
        <v>0</v>
      </c>
      <c r="G21" s="171">
        <f t="shared" si="4"/>
        <v>0</v>
      </c>
      <c r="H21" s="179"/>
      <c r="I21" s="191"/>
      <c r="J21" s="175"/>
      <c r="K21" s="192">
        <f t="shared" si="0"/>
        <v>0</v>
      </c>
      <c r="L21" s="193">
        <f t="shared" si="1"/>
        <v>0</v>
      </c>
      <c r="M21" s="174"/>
      <c r="N21" s="194"/>
      <c r="O21" s="195">
        <f t="shared" si="5"/>
        <v>250</v>
      </c>
      <c r="P21" s="196"/>
      <c r="Q21" s="218"/>
      <c r="R21" s="179"/>
      <c r="S21" s="180"/>
      <c r="T21" s="199"/>
      <c r="U21" s="124"/>
      <c r="V21" s="124"/>
      <c r="W21" s="135"/>
      <c r="X21" s="182">
        <v>19</v>
      </c>
      <c r="Y21" s="200"/>
      <c r="Z21" s="201"/>
      <c r="AA21" s="182"/>
      <c r="AB21" s="221"/>
      <c r="AC21" s="108"/>
      <c r="AD21" s="108"/>
      <c r="AE21" s="108">
        <f t="shared" si="6"/>
        <v>0</v>
      </c>
      <c r="AF21" s="182"/>
      <c r="AG21" s="182"/>
      <c r="AH21" s="202"/>
      <c r="AI21" s="203"/>
      <c r="AJ21" s="108">
        <f t="shared" si="7"/>
        <v>0</v>
      </c>
      <c r="AK21" s="301"/>
      <c r="AL21" s="124"/>
      <c r="AM21" s="124"/>
      <c r="AN21" s="22"/>
      <c r="AQ21" s="100"/>
      <c r="AR21" s="59"/>
      <c r="AS21" s="59"/>
      <c r="AT21" s="59"/>
      <c r="AU21" s="59"/>
      <c r="AV21" s="59"/>
      <c r="AW21" s="100"/>
    </row>
    <row r="22" spans="1:54" ht="19.5" thickBot="1" x14ac:dyDescent="0.35">
      <c r="A22" s="166">
        <v>44611</v>
      </c>
      <c r="B22" s="190"/>
      <c r="C22" s="179"/>
      <c r="D22" s="179"/>
      <c r="E22" s="175"/>
      <c r="F22" s="170">
        <f t="shared" si="3"/>
        <v>0</v>
      </c>
      <c r="G22" s="171">
        <f t="shared" si="4"/>
        <v>0</v>
      </c>
      <c r="H22" s="179"/>
      <c r="I22" s="191"/>
      <c r="J22" s="175"/>
      <c r="K22" s="192">
        <f t="shared" si="0"/>
        <v>0</v>
      </c>
      <c r="L22" s="193">
        <f t="shared" si="1"/>
        <v>0</v>
      </c>
      <c r="M22" s="174"/>
      <c r="N22" s="194"/>
      <c r="O22" s="195">
        <f t="shared" si="5"/>
        <v>250</v>
      </c>
      <c r="P22" s="196"/>
      <c r="Q22" s="218"/>
      <c r="R22" s="179"/>
      <c r="S22" s="180"/>
      <c r="T22" s="199"/>
      <c r="U22" s="124"/>
      <c r="V22" s="124"/>
      <c r="W22" s="135"/>
      <c r="X22" s="182">
        <v>20</v>
      </c>
      <c r="Y22" s="200"/>
      <c r="Z22" s="201"/>
      <c r="AA22" s="182"/>
      <c r="AB22" s="221"/>
      <c r="AC22" s="210"/>
      <c r="AD22" s="210"/>
      <c r="AE22" s="108">
        <f t="shared" si="6"/>
        <v>0</v>
      </c>
      <c r="AF22" s="182"/>
      <c r="AG22" s="182"/>
      <c r="AH22" s="202"/>
      <c r="AI22" s="203"/>
      <c r="AJ22" s="108">
        <f t="shared" si="7"/>
        <v>0</v>
      </c>
      <c r="AK22" s="301"/>
      <c r="AL22" s="124"/>
      <c r="AM22" s="124"/>
      <c r="AN22" s="16"/>
      <c r="AQ22" s="100"/>
      <c r="AR22" s="59"/>
      <c r="AS22" s="71"/>
      <c r="AT22" s="71"/>
      <c r="AU22" s="71"/>
      <c r="AV22" s="59"/>
      <c r="AW22" s="100"/>
    </row>
    <row r="23" spans="1:54" ht="19.5" thickBot="1" x14ac:dyDescent="0.35">
      <c r="A23" s="166">
        <v>44612</v>
      </c>
      <c r="B23" s="190"/>
      <c r="C23" s="179"/>
      <c r="D23" s="179"/>
      <c r="E23" s="175"/>
      <c r="F23" s="170">
        <f t="shared" si="3"/>
        <v>0</v>
      </c>
      <c r="G23" s="171">
        <f t="shared" si="4"/>
        <v>0</v>
      </c>
      <c r="H23" s="179"/>
      <c r="I23" s="191"/>
      <c r="J23" s="175"/>
      <c r="K23" s="192">
        <f t="shared" si="0"/>
        <v>0</v>
      </c>
      <c r="L23" s="193">
        <f t="shared" si="1"/>
        <v>0</v>
      </c>
      <c r="M23" s="174"/>
      <c r="N23" s="194"/>
      <c r="O23" s="195">
        <f t="shared" si="5"/>
        <v>250</v>
      </c>
      <c r="P23" s="196"/>
      <c r="Q23" s="211"/>
      <c r="R23" s="212"/>
      <c r="S23" s="180"/>
      <c r="T23" s="222"/>
      <c r="U23" s="124"/>
      <c r="V23" s="124"/>
      <c r="W23" s="135"/>
      <c r="X23" s="182">
        <v>21</v>
      </c>
      <c r="Y23" s="223"/>
      <c r="Z23" s="224"/>
      <c r="AA23" s="208"/>
      <c r="AB23" s="225"/>
      <c r="AC23" s="108"/>
      <c r="AD23" s="108"/>
      <c r="AE23" s="108">
        <f t="shared" si="6"/>
        <v>0</v>
      </c>
      <c r="AF23" s="208"/>
      <c r="AG23" s="226"/>
      <c r="AH23" s="202"/>
      <c r="AI23" s="203"/>
      <c r="AJ23" s="108">
        <f t="shared" si="7"/>
        <v>0</v>
      </c>
      <c r="AK23" s="301"/>
      <c r="AL23" s="124"/>
      <c r="AM23" s="124"/>
      <c r="AN23" s="16"/>
      <c r="AQ23" s="100"/>
      <c r="AR23" s="100"/>
      <c r="AS23" s="100"/>
      <c r="AT23" s="100"/>
      <c r="AU23" s="100"/>
      <c r="AV23" s="100"/>
      <c r="AW23" s="100"/>
    </row>
    <row r="24" spans="1:54" ht="19.5" thickBot="1" x14ac:dyDescent="0.35">
      <c r="A24" s="166">
        <v>44613</v>
      </c>
      <c r="B24" s="190"/>
      <c r="C24" s="179"/>
      <c r="D24" s="179"/>
      <c r="E24" s="175"/>
      <c r="F24" s="170">
        <f t="shared" si="3"/>
        <v>0</v>
      </c>
      <c r="G24" s="171">
        <f t="shared" si="4"/>
        <v>0</v>
      </c>
      <c r="H24" s="179"/>
      <c r="I24" s="191"/>
      <c r="J24" s="175"/>
      <c r="K24" s="192">
        <f t="shared" si="0"/>
        <v>0</v>
      </c>
      <c r="L24" s="193">
        <f t="shared" si="1"/>
        <v>0</v>
      </c>
      <c r="M24" s="209"/>
      <c r="N24" s="194"/>
      <c r="O24" s="195">
        <f>SUM(L24-M24-N24+O23+P24)</f>
        <v>250</v>
      </c>
      <c r="P24" s="196"/>
      <c r="Q24" s="211"/>
      <c r="R24" s="212"/>
      <c r="S24" s="180"/>
      <c r="T24" s="222"/>
      <c r="U24" s="124"/>
      <c r="V24" s="124"/>
      <c r="W24" s="135"/>
      <c r="X24" s="182">
        <v>22</v>
      </c>
      <c r="Y24" s="200"/>
      <c r="Z24" s="201"/>
      <c r="AA24" s="182"/>
      <c r="AB24" s="227"/>
      <c r="AC24" s="210"/>
      <c r="AD24" s="210"/>
      <c r="AE24" s="108">
        <f t="shared" si="6"/>
        <v>0</v>
      </c>
      <c r="AF24" s="182"/>
      <c r="AG24" s="226"/>
      <c r="AH24" s="202"/>
      <c r="AI24" s="203"/>
      <c r="AJ24" s="108">
        <f t="shared" si="7"/>
        <v>0</v>
      </c>
      <c r="AK24" s="301"/>
      <c r="AL24" s="124"/>
      <c r="AM24" s="124"/>
      <c r="AN24" s="16"/>
    </row>
    <row r="25" spans="1:54" ht="19.5" thickBot="1" x14ac:dyDescent="0.35">
      <c r="A25" s="166">
        <v>44614</v>
      </c>
      <c r="B25" s="190"/>
      <c r="C25" s="179"/>
      <c r="D25" s="179"/>
      <c r="E25" s="175"/>
      <c r="F25" s="170">
        <f t="shared" si="3"/>
        <v>0</v>
      </c>
      <c r="G25" s="171">
        <f t="shared" si="4"/>
        <v>0</v>
      </c>
      <c r="H25" s="179"/>
      <c r="I25" s="191"/>
      <c r="J25" s="175"/>
      <c r="K25" s="192">
        <f t="shared" si="0"/>
        <v>0</v>
      </c>
      <c r="L25" s="193">
        <f t="shared" si="1"/>
        <v>0</v>
      </c>
      <c r="M25" s="174"/>
      <c r="N25" s="194"/>
      <c r="O25" s="195">
        <f t="shared" si="5"/>
        <v>250</v>
      </c>
      <c r="P25" s="196"/>
      <c r="Q25" s="178"/>
      <c r="R25" s="179"/>
      <c r="S25" s="180"/>
      <c r="T25" s="181"/>
      <c r="U25" s="124"/>
      <c r="V25" s="124"/>
      <c r="W25" s="135"/>
      <c r="X25" s="182">
        <v>26</v>
      </c>
      <c r="Y25" s="223"/>
      <c r="Z25" s="224"/>
      <c r="AA25" s="208"/>
      <c r="AB25" s="228"/>
      <c r="AC25" s="210"/>
      <c r="AD25" s="210"/>
      <c r="AE25" s="108">
        <f t="shared" si="6"/>
        <v>0</v>
      </c>
      <c r="AF25" s="208"/>
      <c r="AG25" s="226"/>
      <c r="AH25" s="202"/>
      <c r="AI25" s="203"/>
      <c r="AJ25" s="108">
        <f t="shared" si="7"/>
        <v>0</v>
      </c>
      <c r="AK25" s="301"/>
      <c r="AL25" s="124"/>
      <c r="AM25" s="124"/>
      <c r="AN25" s="16"/>
      <c r="AW25" s="2"/>
    </row>
    <row r="26" spans="1:54" ht="19.5" thickBot="1" x14ac:dyDescent="0.35">
      <c r="A26" s="166">
        <v>44615</v>
      </c>
      <c r="B26" s="190"/>
      <c r="C26" s="179"/>
      <c r="D26" s="179"/>
      <c r="E26" s="175"/>
      <c r="F26" s="170">
        <f t="shared" si="3"/>
        <v>0</v>
      </c>
      <c r="G26" s="171">
        <f t="shared" si="4"/>
        <v>0</v>
      </c>
      <c r="H26" s="179"/>
      <c r="I26" s="191"/>
      <c r="J26" s="175"/>
      <c r="K26" s="192">
        <f t="shared" si="0"/>
        <v>0</v>
      </c>
      <c r="L26" s="193">
        <f t="shared" si="1"/>
        <v>0</v>
      </c>
      <c r="M26" s="174"/>
      <c r="N26" s="194"/>
      <c r="O26" s="195">
        <f t="shared" si="5"/>
        <v>250</v>
      </c>
      <c r="P26" s="196"/>
      <c r="Q26" s="178"/>
      <c r="R26" s="179"/>
      <c r="S26" s="180"/>
      <c r="T26" s="222"/>
      <c r="U26" s="124"/>
      <c r="V26" s="124"/>
      <c r="W26" s="135"/>
      <c r="X26" s="182">
        <v>27</v>
      </c>
      <c r="Y26" s="223"/>
      <c r="Z26" s="224"/>
      <c r="AA26" s="208"/>
      <c r="AB26" s="228"/>
      <c r="AC26" s="210"/>
      <c r="AD26" s="210"/>
      <c r="AE26" s="108">
        <f t="shared" si="6"/>
        <v>0</v>
      </c>
      <c r="AF26" s="208"/>
      <c r="AG26" s="226"/>
      <c r="AH26" s="202"/>
      <c r="AI26" s="203"/>
      <c r="AJ26" s="108">
        <f t="shared" si="7"/>
        <v>0</v>
      </c>
      <c r="AK26" s="301"/>
      <c r="AL26" s="124"/>
      <c r="AM26" s="124"/>
      <c r="AN26" s="16"/>
      <c r="AW26" s="2"/>
      <c r="AY26" s="2"/>
    </row>
    <row r="27" spans="1:54" ht="19.5" thickBot="1" x14ac:dyDescent="0.35">
      <c r="A27" s="166">
        <v>44616</v>
      </c>
      <c r="B27" s="190"/>
      <c r="C27" s="179"/>
      <c r="D27" s="179"/>
      <c r="E27" s="175"/>
      <c r="F27" s="170">
        <f t="shared" si="3"/>
        <v>0</v>
      </c>
      <c r="G27" s="171">
        <f t="shared" si="4"/>
        <v>0</v>
      </c>
      <c r="H27" s="179"/>
      <c r="I27" s="191"/>
      <c r="J27" s="175"/>
      <c r="K27" s="192">
        <f t="shared" si="0"/>
        <v>0</v>
      </c>
      <c r="L27" s="193">
        <f t="shared" si="1"/>
        <v>0</v>
      </c>
      <c r="M27" s="209"/>
      <c r="N27" s="194"/>
      <c r="O27" s="195">
        <f t="shared" si="5"/>
        <v>250</v>
      </c>
      <c r="P27" s="196"/>
      <c r="Q27" s="178"/>
      <c r="R27" s="179"/>
      <c r="S27" s="180"/>
      <c r="T27" s="222"/>
      <c r="U27" s="124"/>
      <c r="V27" s="124"/>
      <c r="W27" s="135"/>
      <c r="X27" s="182">
        <v>28</v>
      </c>
      <c r="Y27" s="200"/>
      <c r="Z27" s="201"/>
      <c r="AA27" s="182"/>
      <c r="AB27" s="182"/>
      <c r="AC27" s="210"/>
      <c r="AD27" s="210"/>
      <c r="AE27" s="108">
        <f t="shared" si="6"/>
        <v>0</v>
      </c>
      <c r="AF27" s="182"/>
      <c r="AG27" s="182"/>
      <c r="AH27" s="202"/>
      <c r="AI27" s="203"/>
      <c r="AJ27" s="108">
        <f t="shared" si="7"/>
        <v>0</v>
      </c>
      <c r="AK27" s="301"/>
      <c r="AL27" s="124"/>
      <c r="AM27" s="124"/>
      <c r="AN27" s="16"/>
      <c r="AR27" s="2"/>
      <c r="AS27" s="2"/>
      <c r="AT27" s="2"/>
      <c r="AU27" s="2"/>
      <c r="AV27" s="2"/>
      <c r="AW27" s="2"/>
      <c r="AY27" s="2"/>
      <c r="AZ27" s="2"/>
      <c r="BA27" s="2"/>
      <c r="BB27" s="2"/>
    </row>
    <row r="28" spans="1:54" ht="19.5" thickBot="1" x14ac:dyDescent="0.35">
      <c r="A28" s="166">
        <v>44617</v>
      </c>
      <c r="B28" s="190"/>
      <c r="C28" s="179"/>
      <c r="D28" s="179"/>
      <c r="E28" s="175"/>
      <c r="F28" s="170">
        <f t="shared" si="3"/>
        <v>0</v>
      </c>
      <c r="G28" s="171">
        <f t="shared" si="4"/>
        <v>0</v>
      </c>
      <c r="H28" s="179"/>
      <c r="I28" s="191"/>
      <c r="J28" s="175"/>
      <c r="K28" s="192">
        <f t="shared" si="0"/>
        <v>0</v>
      </c>
      <c r="L28" s="193">
        <f t="shared" si="1"/>
        <v>0</v>
      </c>
      <c r="M28" s="174"/>
      <c r="N28" s="194"/>
      <c r="O28" s="195">
        <f>SUM(L28-M28-N28+O27+P28)</f>
        <v>250</v>
      </c>
      <c r="P28" s="196"/>
      <c r="Q28" s="178"/>
      <c r="R28" s="179"/>
      <c r="S28" s="180"/>
      <c r="T28" s="222"/>
      <c r="U28" s="124"/>
      <c r="V28" s="124"/>
      <c r="W28" s="135"/>
      <c r="X28" s="182">
        <v>29</v>
      </c>
      <c r="Y28" s="200"/>
      <c r="Z28" s="201"/>
      <c r="AA28" s="182"/>
      <c r="AB28" s="182"/>
      <c r="AC28" s="210"/>
      <c r="AD28" s="210"/>
      <c r="AE28" s="108">
        <f t="shared" si="6"/>
        <v>0</v>
      </c>
      <c r="AF28" s="182"/>
      <c r="AG28" s="182"/>
      <c r="AH28" s="202"/>
      <c r="AI28" s="203"/>
      <c r="AJ28" s="108">
        <f t="shared" si="7"/>
        <v>0</v>
      </c>
      <c r="AK28" s="163"/>
      <c r="AL28" s="124"/>
      <c r="AM28" s="124"/>
      <c r="AN28" s="16"/>
      <c r="AR28" s="92"/>
      <c r="AS28" s="11"/>
      <c r="AT28" s="11"/>
      <c r="AU28" s="11"/>
      <c r="AV28" s="2"/>
      <c r="AW28" s="2"/>
      <c r="AY28" s="2"/>
      <c r="AZ28" s="2"/>
      <c r="BA28" s="12"/>
      <c r="BB28" s="2"/>
    </row>
    <row r="29" spans="1:54" ht="19.5" thickBot="1" x14ac:dyDescent="0.35">
      <c r="A29" s="166">
        <v>44618</v>
      </c>
      <c r="B29" s="190"/>
      <c r="C29" s="179"/>
      <c r="D29" s="179"/>
      <c r="E29" s="175"/>
      <c r="F29" s="170">
        <f t="shared" si="3"/>
        <v>0</v>
      </c>
      <c r="G29" s="171">
        <f t="shared" si="4"/>
        <v>0</v>
      </c>
      <c r="H29" s="179"/>
      <c r="I29" s="191"/>
      <c r="J29" s="175"/>
      <c r="K29" s="192">
        <f t="shared" si="0"/>
        <v>0</v>
      </c>
      <c r="L29" s="193">
        <f t="shared" si="1"/>
        <v>0</v>
      </c>
      <c r="M29" s="174"/>
      <c r="N29" s="194"/>
      <c r="O29" s="195">
        <f t="shared" si="5"/>
        <v>250</v>
      </c>
      <c r="P29" s="135"/>
      <c r="Q29" s="178"/>
      <c r="R29" s="179"/>
      <c r="S29" s="180"/>
      <c r="T29" s="222"/>
      <c r="U29" s="124"/>
      <c r="V29" s="124"/>
      <c r="W29" s="135"/>
      <c r="X29" s="182">
        <v>30</v>
      </c>
      <c r="Y29" s="200"/>
      <c r="Z29" s="201"/>
      <c r="AA29" s="182"/>
      <c r="AB29" s="182"/>
      <c r="AC29" s="108"/>
      <c r="AD29" s="108"/>
      <c r="AE29" s="108">
        <f t="shared" si="6"/>
        <v>0</v>
      </c>
      <c r="AF29" s="182"/>
      <c r="AG29" s="182"/>
      <c r="AH29" s="202"/>
      <c r="AI29" s="203"/>
      <c r="AJ29" s="108">
        <f t="shared" si="7"/>
        <v>0</v>
      </c>
      <c r="AK29" s="163"/>
      <c r="AL29" s="124"/>
      <c r="AM29" s="124"/>
      <c r="AN29" s="22"/>
      <c r="AR29" s="92"/>
      <c r="AS29" s="11"/>
      <c r="AT29" s="11"/>
      <c r="AU29" s="11"/>
      <c r="AV29" s="2"/>
      <c r="AW29" s="2"/>
      <c r="AY29" s="12"/>
      <c r="AZ29" s="2"/>
      <c r="BA29" s="12"/>
      <c r="BB29" s="2"/>
    </row>
    <row r="30" spans="1:54" ht="19.5" thickBot="1" x14ac:dyDescent="0.35">
      <c r="A30" s="166">
        <v>44619</v>
      </c>
      <c r="B30" s="229"/>
      <c r="C30" s="179"/>
      <c r="D30" s="179"/>
      <c r="E30" s="175"/>
      <c r="F30" s="170">
        <f t="shared" si="3"/>
        <v>0</v>
      </c>
      <c r="G30" s="171">
        <f t="shared" si="4"/>
        <v>0</v>
      </c>
      <c r="H30" s="179"/>
      <c r="I30" s="191"/>
      <c r="J30" s="175"/>
      <c r="K30" s="192">
        <f t="shared" si="0"/>
        <v>0</v>
      </c>
      <c r="L30" s="193">
        <f t="shared" si="1"/>
        <v>0</v>
      </c>
      <c r="M30" s="209"/>
      <c r="N30" s="194"/>
      <c r="O30" s="195">
        <f>SUM(L30-M30-N30+O29+P30)</f>
        <v>250</v>
      </c>
      <c r="P30" s="135"/>
      <c r="Q30" s="178"/>
      <c r="R30" s="179"/>
      <c r="S30" s="230"/>
      <c r="T30" s="222"/>
      <c r="U30" s="124"/>
      <c r="V30" s="124"/>
      <c r="W30" s="135"/>
      <c r="X30" s="24"/>
      <c r="Y30" s="160"/>
      <c r="Z30" s="161"/>
      <c r="AA30" s="24"/>
      <c r="AB30" s="24"/>
      <c r="AC30" s="231" t="s">
        <v>16</v>
      </c>
      <c r="AD30" s="231">
        <f>SUM(AD3:AD29)</f>
        <v>0</v>
      </c>
      <c r="AE30" s="163"/>
      <c r="AF30" s="232"/>
      <c r="AG30" s="24"/>
      <c r="AH30" s="233"/>
      <c r="AI30" s="165"/>
      <c r="AJ30" s="163"/>
      <c r="AK30" s="163"/>
      <c r="AL30" s="124"/>
      <c r="AM30" s="124"/>
      <c r="AN30" s="22"/>
      <c r="AR30" s="92"/>
      <c r="AS30" s="11"/>
      <c r="AT30" s="11"/>
      <c r="AU30" s="11"/>
      <c r="AV30" s="2"/>
      <c r="AW30" s="2"/>
      <c r="AY30" s="12"/>
      <c r="AZ30" s="2"/>
      <c r="BA30" s="12"/>
      <c r="BB30" s="2"/>
    </row>
    <row r="31" spans="1:54" ht="19.5" thickBot="1" x14ac:dyDescent="0.35">
      <c r="A31" s="166"/>
      <c r="B31" s="234"/>
      <c r="C31" s="235"/>
      <c r="D31" s="236"/>
      <c r="E31" s="175"/>
      <c r="F31" s="170">
        <f t="shared" si="3"/>
        <v>0</v>
      </c>
      <c r="G31" s="171">
        <f t="shared" si="4"/>
        <v>0</v>
      </c>
      <c r="H31" s="179"/>
      <c r="I31" s="191"/>
      <c r="J31" s="237"/>
      <c r="K31" s="192">
        <f t="shared" si="0"/>
        <v>0</v>
      </c>
      <c r="L31" s="193">
        <f t="shared" si="1"/>
        <v>0</v>
      </c>
      <c r="M31" s="174"/>
      <c r="N31" s="194"/>
      <c r="O31" s="238">
        <f t="shared" si="5"/>
        <v>250</v>
      </c>
      <c r="P31" s="239" t="s">
        <v>9</v>
      </c>
      <c r="Q31" s="178"/>
      <c r="R31" s="179"/>
      <c r="S31" s="230"/>
      <c r="T31" s="222"/>
      <c r="U31" s="124"/>
      <c r="V31" s="124"/>
      <c r="W31" s="135"/>
      <c r="X31" s="24"/>
      <c r="Y31" s="160"/>
      <c r="Z31" s="161"/>
      <c r="AA31" s="24"/>
      <c r="AB31" s="24"/>
      <c r="AC31" s="163"/>
      <c r="AD31" s="163"/>
      <c r="AE31" s="163"/>
      <c r="AF31" s="24"/>
      <c r="AG31" s="24"/>
      <c r="AH31" s="233"/>
      <c r="AI31" s="165"/>
      <c r="AJ31" s="163"/>
      <c r="AK31" s="301"/>
      <c r="AL31" s="124"/>
      <c r="AM31" s="124"/>
      <c r="AN31" s="22"/>
      <c r="AR31" s="92"/>
      <c r="AS31" s="11"/>
      <c r="AT31" s="11"/>
      <c r="AU31" s="11"/>
      <c r="AV31" s="2"/>
      <c r="AW31" s="2"/>
      <c r="AY31" s="2"/>
      <c r="AZ31" s="2"/>
      <c r="BA31" s="12"/>
      <c r="BB31" s="2"/>
    </row>
    <row r="32" spans="1:54" ht="19.5" thickBot="1" x14ac:dyDescent="0.35">
      <c r="A32" s="166"/>
      <c r="B32" s="190"/>
      <c r="C32" s="179"/>
      <c r="D32" s="179"/>
      <c r="E32" s="175"/>
      <c r="F32" s="170">
        <f t="shared" si="3"/>
        <v>0</v>
      </c>
      <c r="G32" s="171">
        <f t="shared" si="4"/>
        <v>0</v>
      </c>
      <c r="H32" s="179"/>
      <c r="I32" s="191"/>
      <c r="J32" s="175"/>
      <c r="K32" s="192">
        <f t="shared" si="0"/>
        <v>0</v>
      </c>
      <c r="L32" s="193">
        <f t="shared" si="1"/>
        <v>0</v>
      </c>
      <c r="M32" s="240"/>
      <c r="N32" s="194"/>
      <c r="O32" s="238">
        <f t="shared" si="5"/>
        <v>250</v>
      </c>
      <c r="P32" s="241" t="s">
        <v>10</v>
      </c>
      <c r="Q32" s="242"/>
      <c r="R32" s="179"/>
      <c r="S32" s="230"/>
      <c r="T32" s="222"/>
      <c r="U32" s="124"/>
      <c r="V32" s="124"/>
      <c r="W32" s="135"/>
      <c r="X32" s="24"/>
      <c r="Y32" s="160"/>
      <c r="Z32" s="161"/>
      <c r="AA32" s="182" t="s">
        <v>17</v>
      </c>
      <c r="AB32" s="24"/>
      <c r="AC32" s="244"/>
      <c r="AD32" s="244"/>
      <c r="AE32" s="163"/>
      <c r="AF32" s="24"/>
      <c r="AG32" s="24"/>
      <c r="AH32" s="233"/>
      <c r="AI32" s="165"/>
      <c r="AJ32" s="163"/>
      <c r="AK32" s="163"/>
      <c r="AL32" s="124"/>
      <c r="AM32" s="124"/>
      <c r="AN32" s="36"/>
      <c r="AR32" s="2"/>
      <c r="AS32" s="11"/>
      <c r="AT32" s="11"/>
      <c r="AU32" s="11"/>
      <c r="AV32" s="2"/>
      <c r="AW32" s="2"/>
      <c r="AY32" s="2"/>
      <c r="AZ32" s="2"/>
      <c r="BA32" s="2"/>
      <c r="BB32" s="2"/>
    </row>
    <row r="33" spans="1:54" ht="19.5" thickBot="1" x14ac:dyDescent="0.35">
      <c r="A33" s="166"/>
      <c r="B33" s="245"/>
      <c r="C33" s="246"/>
      <c r="D33" s="246"/>
      <c r="E33" s="247"/>
      <c r="F33" s="170">
        <f t="shared" si="3"/>
        <v>0</v>
      </c>
      <c r="G33" s="171">
        <f t="shared" si="4"/>
        <v>0</v>
      </c>
      <c r="H33" s="248"/>
      <c r="I33" s="248"/>
      <c r="J33" s="247"/>
      <c r="K33" s="249">
        <f t="shared" si="0"/>
        <v>0</v>
      </c>
      <c r="L33" s="250">
        <f t="shared" si="1"/>
        <v>0</v>
      </c>
      <c r="M33" s="251"/>
      <c r="N33" s="252"/>
      <c r="O33" s="253">
        <f t="shared" si="5"/>
        <v>250</v>
      </c>
      <c r="P33" s="254">
        <f>SUM(O33)</f>
        <v>250</v>
      </c>
      <c r="Q33" s="255"/>
      <c r="R33" s="246"/>
      <c r="S33" s="256"/>
      <c r="T33" s="257"/>
      <c r="U33" s="124"/>
      <c r="V33" s="124"/>
      <c r="W33" s="135"/>
      <c r="X33" s="182">
        <v>1</v>
      </c>
      <c r="Y33" s="200"/>
      <c r="Z33" s="201"/>
      <c r="AA33" s="182"/>
      <c r="AB33" s="182"/>
      <c r="AC33" s="258"/>
      <c r="AD33" s="210"/>
      <c r="AE33" s="108">
        <f t="shared" ref="AE33:AE45" si="8">SUM(AC33:AD33)</f>
        <v>0</v>
      </c>
      <c r="AF33" s="182"/>
      <c r="AG33" s="182"/>
      <c r="AH33" s="202"/>
      <c r="AI33" s="203"/>
      <c r="AJ33" s="108">
        <f>AE33</f>
        <v>0</v>
      </c>
      <c r="AK33" s="163"/>
      <c r="AL33" s="303" t="s">
        <v>31</v>
      </c>
      <c r="AM33" s="304"/>
      <c r="AN33" s="16"/>
      <c r="AR33" s="92"/>
      <c r="AS33" s="11"/>
      <c r="AT33" s="11"/>
      <c r="AU33" s="11"/>
      <c r="AV33" s="2"/>
      <c r="AW33" s="2"/>
      <c r="AY33" s="2"/>
      <c r="AZ33" s="2"/>
      <c r="BA33" s="2"/>
      <c r="BB33" s="2"/>
    </row>
    <row r="34" spans="1:54" ht="19.5" thickBot="1" x14ac:dyDescent="0.35">
      <c r="A34" s="124"/>
      <c r="B34" s="259">
        <f>SUM(B5:B33)</f>
        <v>0</v>
      </c>
      <c r="C34" s="260">
        <f t="shared" ref="C34:N34" si="9">SUM(C3:C33)</f>
        <v>0</v>
      </c>
      <c r="D34" s="261">
        <f t="shared" si="9"/>
        <v>0</v>
      </c>
      <c r="E34" s="261">
        <f t="shared" si="9"/>
        <v>0</v>
      </c>
      <c r="F34" s="262">
        <f t="shared" si="9"/>
        <v>0</v>
      </c>
      <c r="G34" s="263"/>
      <c r="H34" s="263">
        <f>SUM(H3:H33)</f>
        <v>0</v>
      </c>
      <c r="I34" s="263"/>
      <c r="J34" s="263">
        <f t="shared" si="9"/>
        <v>0</v>
      </c>
      <c r="K34" s="264">
        <f t="shared" si="9"/>
        <v>0</v>
      </c>
      <c r="L34" s="265">
        <f t="shared" si="9"/>
        <v>0</v>
      </c>
      <c r="M34" s="266">
        <f t="shared" si="9"/>
        <v>0</v>
      </c>
      <c r="N34" s="267">
        <f t="shared" si="9"/>
        <v>0</v>
      </c>
      <c r="O34" s="135"/>
      <c r="P34" s="135"/>
      <c r="Q34" s="124"/>
      <c r="R34" s="135"/>
      <c r="S34" s="124"/>
      <c r="T34" s="124"/>
      <c r="U34" s="124"/>
      <c r="V34" s="124"/>
      <c r="W34" s="135"/>
      <c r="X34" s="182">
        <v>2</v>
      </c>
      <c r="Y34" s="217"/>
      <c r="Z34" s="201"/>
      <c r="AA34" s="182"/>
      <c r="AB34" s="182"/>
      <c r="AC34" s="258"/>
      <c r="AD34" s="210"/>
      <c r="AE34" s="108">
        <f t="shared" si="8"/>
        <v>0</v>
      </c>
      <c r="AF34" s="182"/>
      <c r="AG34" s="216"/>
      <c r="AH34" s="202"/>
      <c r="AI34" s="203"/>
      <c r="AJ34" s="108">
        <f>AE34</f>
        <v>0</v>
      </c>
      <c r="AK34" s="163"/>
      <c r="AL34" s="258">
        <f t="shared" ref="AL34:AL64" si="10">AC33</f>
        <v>0</v>
      </c>
      <c r="AM34" s="305">
        <v>1</v>
      </c>
      <c r="AN34" s="16"/>
      <c r="AR34" s="2"/>
      <c r="AS34" s="11"/>
      <c r="AT34" s="11"/>
      <c r="AU34" s="11"/>
      <c r="AV34" s="2"/>
      <c r="AW34" s="2"/>
      <c r="AY34" s="2"/>
      <c r="AZ34" s="2"/>
      <c r="BA34" s="2"/>
      <c r="BB34" s="2"/>
    </row>
    <row r="35" spans="1:54" ht="19.5" thickBot="1" x14ac:dyDescent="0.35">
      <c r="A35" s="269" t="s">
        <v>15</v>
      </c>
      <c r="B35" s="270">
        <f>SUM(B3:B33)</f>
        <v>0</v>
      </c>
      <c r="C35" s="270">
        <f>SUM(C34/1.06)</f>
        <v>0</v>
      </c>
      <c r="D35" s="270">
        <f>SUM(D34/1.12)</f>
        <v>0</v>
      </c>
      <c r="E35" s="270">
        <f>SUM(E34/1.21)</f>
        <v>0</v>
      </c>
      <c r="F35" s="270">
        <f>SUM(B35:E35)</f>
        <v>0</v>
      </c>
      <c r="G35" s="271">
        <f>SUM(G34:G34)</f>
        <v>0</v>
      </c>
      <c r="H35" s="135"/>
      <c r="I35" s="135"/>
      <c r="J35" s="179"/>
      <c r="K35" s="272"/>
      <c r="L35" s="273" t="s">
        <v>82</v>
      </c>
      <c r="M35" s="274"/>
      <c r="N35" s="275">
        <f>SUM(M34:N34)</f>
        <v>0</v>
      </c>
      <c r="O35" s="135"/>
      <c r="P35" s="135"/>
      <c r="Q35" s="124"/>
      <c r="R35" s="135"/>
      <c r="S35" s="124"/>
      <c r="T35" s="124"/>
      <c r="U35" s="124"/>
      <c r="V35" s="124"/>
      <c r="W35" s="135"/>
      <c r="X35" s="182">
        <v>3</v>
      </c>
      <c r="Y35" s="200"/>
      <c r="Z35" s="201"/>
      <c r="AA35" s="182"/>
      <c r="AB35" s="182"/>
      <c r="AC35" s="258"/>
      <c r="AD35" s="210"/>
      <c r="AE35" s="108">
        <f t="shared" si="8"/>
        <v>0</v>
      </c>
      <c r="AF35" s="182"/>
      <c r="AG35" s="182"/>
      <c r="AH35" s="202"/>
      <c r="AI35" s="203"/>
      <c r="AJ35" s="108">
        <f>AE35</f>
        <v>0</v>
      </c>
      <c r="AK35" s="163"/>
      <c r="AL35" s="258">
        <f t="shared" si="10"/>
        <v>0</v>
      </c>
      <c r="AM35" s="221">
        <v>2</v>
      </c>
      <c r="AN35" s="16"/>
      <c r="AR35" s="2"/>
      <c r="AS35" s="11"/>
      <c r="AT35" s="11"/>
      <c r="AU35" s="11"/>
      <c r="AV35" s="12"/>
      <c r="AW35" s="2"/>
      <c r="AY35" s="2"/>
      <c r="AZ35" s="2"/>
      <c r="BA35" s="2"/>
      <c r="BB35" s="2"/>
    </row>
    <row r="36" spans="1:54" ht="18.75" x14ac:dyDescent="0.3">
      <c r="A36" s="269" t="s">
        <v>16</v>
      </c>
      <c r="B36" s="276"/>
      <c r="C36" s="270">
        <f>SUM(C34-C35)</f>
        <v>0</v>
      </c>
      <c r="D36" s="270">
        <f>SUM(D34-D35)</f>
        <v>0</v>
      </c>
      <c r="E36" s="270">
        <f>SUM(E34-E35)</f>
        <v>0</v>
      </c>
      <c r="F36" s="270">
        <f>SUM(C36:E36)</f>
        <v>0</v>
      </c>
      <c r="G36" s="135"/>
      <c r="H36" s="135"/>
      <c r="I36" s="135"/>
      <c r="J36" s="135"/>
      <c r="K36" s="135"/>
      <c r="L36" s="135"/>
      <c r="M36" s="135"/>
      <c r="N36" s="135"/>
      <c r="O36" s="135"/>
      <c r="P36" s="135"/>
      <c r="Q36" s="124"/>
      <c r="R36" s="135"/>
      <c r="S36" s="124"/>
      <c r="T36" s="124"/>
      <c r="U36" s="124"/>
      <c r="V36" s="124"/>
      <c r="W36" s="135"/>
      <c r="X36" s="182">
        <v>4</v>
      </c>
      <c r="Y36" s="317"/>
      <c r="Z36" s="318"/>
      <c r="AA36" s="319"/>
      <c r="AB36" s="319"/>
      <c r="AC36" s="277"/>
      <c r="AD36" s="314"/>
      <c r="AE36" s="314">
        <f t="shared" si="8"/>
        <v>0</v>
      </c>
      <c r="AF36" s="319"/>
      <c r="AG36" s="319"/>
      <c r="AH36" s="315"/>
      <c r="AI36" s="316"/>
      <c r="AJ36" s="314">
        <v>0</v>
      </c>
      <c r="AK36" s="306"/>
      <c r="AL36" s="258">
        <f t="shared" si="10"/>
        <v>0</v>
      </c>
      <c r="AM36" s="221">
        <v>3</v>
      </c>
      <c r="AN36" s="16"/>
      <c r="AR36" s="12"/>
      <c r="AS36" s="11"/>
      <c r="AT36" s="11"/>
      <c r="AU36" s="11"/>
      <c r="AV36" s="12"/>
      <c r="AW36" s="2"/>
      <c r="AY36" s="2"/>
      <c r="AZ36" s="2"/>
      <c r="BA36" s="2"/>
      <c r="BB36" s="2"/>
    </row>
    <row r="37" spans="1:54" ht="18.75" x14ac:dyDescent="0.3">
      <c r="A37" s="124"/>
      <c r="B37" s="124"/>
      <c r="C37" s="124"/>
      <c r="D37" s="124"/>
      <c r="E37" s="124"/>
      <c r="F37" s="124"/>
      <c r="G37" s="124"/>
      <c r="H37" s="124"/>
      <c r="I37" s="124"/>
      <c r="J37" s="124"/>
      <c r="K37" s="124"/>
      <c r="L37" s="124"/>
      <c r="M37" s="124"/>
      <c r="N37" s="124"/>
      <c r="O37" s="124"/>
      <c r="P37" s="124"/>
      <c r="Q37" s="159"/>
      <c r="R37" s="135"/>
      <c r="S37" s="124"/>
      <c r="T37" s="124"/>
      <c r="U37" s="124"/>
      <c r="V37" s="124"/>
      <c r="W37" s="135"/>
      <c r="X37" s="182">
        <v>5</v>
      </c>
      <c r="Y37" s="321"/>
      <c r="Z37" s="318"/>
      <c r="AA37" s="319"/>
      <c r="AB37" s="322"/>
      <c r="AC37" s="258"/>
      <c r="AD37" s="313"/>
      <c r="AE37" s="314">
        <f t="shared" si="8"/>
        <v>0</v>
      </c>
      <c r="AF37" s="319"/>
      <c r="AG37" s="323"/>
      <c r="AH37" s="315"/>
      <c r="AI37" s="316"/>
      <c r="AJ37" s="314">
        <f>AE37</f>
        <v>0</v>
      </c>
      <c r="AK37" s="301"/>
      <c r="AL37" s="258">
        <f t="shared" si="10"/>
        <v>0</v>
      </c>
      <c r="AM37" s="221">
        <v>4</v>
      </c>
      <c r="AN37" s="22"/>
      <c r="AR37" s="12"/>
      <c r="AS37" s="11"/>
      <c r="AT37" s="11"/>
      <c r="AU37" s="11"/>
      <c r="AV37" s="12"/>
      <c r="AW37" s="2"/>
    </row>
    <row r="38" spans="1:54" ht="18.75" x14ac:dyDescent="0.3">
      <c r="A38" s="124"/>
      <c r="B38" s="124"/>
      <c r="C38" s="124"/>
      <c r="D38" s="124"/>
      <c r="E38" s="124"/>
      <c r="F38" s="124"/>
      <c r="G38" s="124"/>
      <c r="H38" s="124"/>
      <c r="I38" s="124"/>
      <c r="J38" s="124"/>
      <c r="K38" s="124"/>
      <c r="L38" s="124"/>
      <c r="M38" s="124"/>
      <c r="N38" s="124"/>
      <c r="O38" s="124"/>
      <c r="P38" s="124"/>
      <c r="Q38" s="124"/>
      <c r="R38" s="135"/>
      <c r="S38" s="124"/>
      <c r="T38" s="124"/>
      <c r="U38" s="124"/>
      <c r="V38" s="124"/>
      <c r="W38" s="135"/>
      <c r="X38" s="182">
        <v>6</v>
      </c>
      <c r="Y38" s="317"/>
      <c r="Z38" s="318"/>
      <c r="AA38" s="319"/>
      <c r="AB38" s="319"/>
      <c r="AC38" s="277"/>
      <c r="AD38" s="314"/>
      <c r="AE38" s="314">
        <f t="shared" si="8"/>
        <v>0</v>
      </c>
      <c r="AF38" s="319"/>
      <c r="AG38" s="323"/>
      <c r="AH38" s="315"/>
      <c r="AI38" s="316"/>
      <c r="AJ38" s="314">
        <v>0</v>
      </c>
      <c r="AK38" s="301"/>
      <c r="AL38" s="258">
        <f t="shared" si="10"/>
        <v>0</v>
      </c>
      <c r="AM38" s="221">
        <v>5</v>
      </c>
      <c r="AN38" s="16"/>
      <c r="AR38" s="2"/>
      <c r="AS38" s="11"/>
      <c r="AT38" s="11"/>
      <c r="AU38" s="11"/>
      <c r="AV38" s="12"/>
      <c r="AW38" s="2"/>
      <c r="BA38" s="7"/>
    </row>
    <row r="39" spans="1:54" ht="18.75" x14ac:dyDescent="0.3">
      <c r="A39" s="124"/>
      <c r="B39" s="124"/>
      <c r="C39" s="124"/>
      <c r="D39" s="124"/>
      <c r="E39" s="124"/>
      <c r="F39" s="124"/>
      <c r="G39" s="124"/>
      <c r="H39" s="124"/>
      <c r="I39" s="124"/>
      <c r="J39" s="124"/>
      <c r="K39" s="124"/>
      <c r="L39" s="124"/>
      <c r="M39" s="124"/>
      <c r="N39" s="124"/>
      <c r="O39" s="124"/>
      <c r="P39" s="124"/>
      <c r="Q39" s="124"/>
      <c r="R39" s="135"/>
      <c r="S39" s="124"/>
      <c r="T39" s="124"/>
      <c r="U39" s="124"/>
      <c r="V39" s="124"/>
      <c r="W39" s="135"/>
      <c r="X39" s="182">
        <v>7</v>
      </c>
      <c r="Y39" s="200"/>
      <c r="Z39" s="201"/>
      <c r="AA39" s="182"/>
      <c r="AB39" s="182"/>
      <c r="AC39" s="277"/>
      <c r="AD39" s="108"/>
      <c r="AE39" s="108">
        <f t="shared" si="8"/>
        <v>0</v>
      </c>
      <c r="AF39" s="182"/>
      <c r="AG39" s="182"/>
      <c r="AH39" s="202"/>
      <c r="AI39" s="203"/>
      <c r="AJ39" s="108">
        <f t="shared" ref="AJ39:AJ45" si="11">AE39</f>
        <v>0</v>
      </c>
      <c r="AK39" s="301"/>
      <c r="AL39" s="258">
        <f t="shared" si="10"/>
        <v>0</v>
      </c>
      <c r="AM39" s="221">
        <v>6</v>
      </c>
      <c r="AN39" s="16"/>
      <c r="AR39" s="2"/>
      <c r="AS39" s="11"/>
      <c r="AT39" s="11"/>
      <c r="AU39" s="11"/>
      <c r="AV39" s="12"/>
      <c r="AW39" s="2"/>
      <c r="BA39" s="7"/>
    </row>
    <row r="40" spans="1:54" ht="18.75" x14ac:dyDescent="0.3">
      <c r="A40" s="124"/>
      <c r="B40" s="124"/>
      <c r="C40" s="124"/>
      <c r="D40" s="124"/>
      <c r="E40" s="124"/>
      <c r="F40" s="124"/>
      <c r="G40" s="124"/>
      <c r="H40" s="124"/>
      <c r="I40" s="124"/>
      <c r="J40" s="124"/>
      <c r="K40" s="124"/>
      <c r="L40" s="124"/>
      <c r="M40" s="124"/>
      <c r="N40" s="324"/>
      <c r="O40" s="324"/>
      <c r="P40" s="124"/>
      <c r="Q40" s="124"/>
      <c r="R40" s="135"/>
      <c r="S40" s="124"/>
      <c r="T40" s="124"/>
      <c r="U40" s="124"/>
      <c r="V40" s="124"/>
      <c r="W40" s="135"/>
      <c r="X40" s="182">
        <v>8</v>
      </c>
      <c r="Y40" s="200"/>
      <c r="Z40" s="201"/>
      <c r="AA40" s="182"/>
      <c r="AB40" s="182"/>
      <c r="AC40" s="258"/>
      <c r="AD40" s="210"/>
      <c r="AE40" s="108">
        <f t="shared" si="8"/>
        <v>0</v>
      </c>
      <c r="AF40" s="182"/>
      <c r="AG40" s="182"/>
      <c r="AH40" s="202"/>
      <c r="AI40" s="203"/>
      <c r="AJ40" s="108">
        <f t="shared" si="11"/>
        <v>0</v>
      </c>
      <c r="AK40" s="301"/>
      <c r="AL40" s="258">
        <f t="shared" si="10"/>
        <v>0</v>
      </c>
      <c r="AM40" s="221">
        <v>7</v>
      </c>
      <c r="AN40" s="16"/>
      <c r="AR40" s="2"/>
      <c r="AS40" s="11"/>
      <c r="AT40" s="11"/>
      <c r="AU40" s="11"/>
      <c r="AV40" s="12"/>
      <c r="AW40" s="2"/>
    </row>
    <row r="41" spans="1:54" ht="18.75" x14ac:dyDescent="0.3">
      <c r="A41" s="124"/>
      <c r="B41" s="124"/>
      <c r="C41" s="124"/>
      <c r="D41" s="124"/>
      <c r="E41" s="124"/>
      <c r="F41" s="124"/>
      <c r="G41" s="124"/>
      <c r="H41" s="124"/>
      <c r="I41" s="124"/>
      <c r="J41" s="124"/>
      <c r="K41" s="124"/>
      <c r="L41" s="124"/>
      <c r="M41" s="124"/>
      <c r="N41" s="324"/>
      <c r="O41" s="324"/>
      <c r="P41" s="124"/>
      <c r="Q41" s="124"/>
      <c r="R41" s="135"/>
      <c r="S41" s="124"/>
      <c r="T41" s="124"/>
      <c r="U41" s="124"/>
      <c r="V41" s="124"/>
      <c r="W41" s="135"/>
      <c r="X41" s="182">
        <v>9</v>
      </c>
      <c r="Y41" s="200"/>
      <c r="Z41" s="201"/>
      <c r="AA41" s="182"/>
      <c r="AB41" s="182"/>
      <c r="AC41" s="277"/>
      <c r="AD41" s="108"/>
      <c r="AE41" s="108">
        <f t="shared" si="8"/>
        <v>0</v>
      </c>
      <c r="AF41" s="182"/>
      <c r="AG41" s="182"/>
      <c r="AH41" s="202"/>
      <c r="AI41" s="203"/>
      <c r="AJ41" s="108">
        <f t="shared" si="11"/>
        <v>0</v>
      </c>
      <c r="AK41" s="301"/>
      <c r="AL41" s="258">
        <f t="shared" si="10"/>
        <v>0</v>
      </c>
      <c r="AM41" s="221">
        <v>8</v>
      </c>
      <c r="AN41" s="16"/>
      <c r="AR41" s="2"/>
      <c r="AS41" s="11"/>
      <c r="AT41" s="11"/>
      <c r="AU41" s="11"/>
      <c r="AV41" s="12"/>
      <c r="AW41" s="2"/>
    </row>
    <row r="42" spans="1:54" ht="18.75" x14ac:dyDescent="0.3">
      <c r="A42" s="124"/>
      <c r="B42" s="124"/>
      <c r="C42" s="124"/>
      <c r="D42" s="124"/>
      <c r="E42" s="124"/>
      <c r="F42" s="124"/>
      <c r="G42" s="124"/>
      <c r="H42" s="124"/>
      <c r="I42" s="124" t="s">
        <v>14</v>
      </c>
      <c r="J42" s="124"/>
      <c r="K42" s="124"/>
      <c r="L42" s="124"/>
      <c r="M42" s="124"/>
      <c r="N42" s="324"/>
      <c r="O42" s="324"/>
      <c r="P42" s="124"/>
      <c r="Q42" s="124"/>
      <c r="R42" s="135"/>
      <c r="S42" s="124"/>
      <c r="T42" s="124"/>
      <c r="U42" s="124"/>
      <c r="V42" s="124"/>
      <c r="W42" s="135"/>
      <c r="X42" s="182">
        <v>10</v>
      </c>
      <c r="Y42" s="200"/>
      <c r="Z42" s="201"/>
      <c r="AA42" s="182"/>
      <c r="AB42" s="182"/>
      <c r="AC42" s="258"/>
      <c r="AD42" s="210"/>
      <c r="AE42" s="108">
        <f t="shared" si="8"/>
        <v>0</v>
      </c>
      <c r="AF42" s="182"/>
      <c r="AG42" s="182"/>
      <c r="AH42" s="202"/>
      <c r="AI42" s="203"/>
      <c r="AJ42" s="108">
        <f t="shared" si="11"/>
        <v>0</v>
      </c>
      <c r="AK42" s="163"/>
      <c r="AL42" s="258">
        <f t="shared" si="10"/>
        <v>0</v>
      </c>
      <c r="AM42" s="221">
        <v>9</v>
      </c>
      <c r="AN42" s="16"/>
      <c r="AR42" s="2"/>
      <c r="AS42" s="11"/>
      <c r="AT42" s="11"/>
      <c r="AU42" s="11"/>
      <c r="AV42" s="2"/>
      <c r="AW42" s="2"/>
    </row>
    <row r="43" spans="1:54" ht="15.75" x14ac:dyDescent="0.25">
      <c r="A43" s="124"/>
      <c r="B43" s="124"/>
      <c r="C43" s="279"/>
      <c r="D43" s="279"/>
      <c r="E43" s="124"/>
      <c r="F43" s="124"/>
      <c r="G43" s="124"/>
      <c r="H43" s="124"/>
      <c r="I43" s="124"/>
      <c r="J43" s="124"/>
      <c r="K43" s="124"/>
      <c r="L43" s="124"/>
      <c r="M43" s="124"/>
      <c r="N43" s="324"/>
      <c r="O43" s="325"/>
      <c r="P43" s="124"/>
      <c r="Q43" s="124"/>
      <c r="R43" s="135"/>
      <c r="S43" s="124"/>
      <c r="T43" s="124"/>
      <c r="U43" s="124"/>
      <c r="V43" s="124"/>
      <c r="W43" s="135"/>
      <c r="X43" s="182">
        <v>11</v>
      </c>
      <c r="Y43" s="200"/>
      <c r="Z43" s="201"/>
      <c r="AA43" s="182"/>
      <c r="AB43" s="182"/>
      <c r="AC43" s="258"/>
      <c r="AD43" s="210"/>
      <c r="AE43" s="108">
        <f t="shared" si="8"/>
        <v>0</v>
      </c>
      <c r="AF43" s="182"/>
      <c r="AG43" s="182"/>
      <c r="AH43" s="202"/>
      <c r="AI43" s="203"/>
      <c r="AJ43" s="108">
        <f t="shared" si="11"/>
        <v>0</v>
      </c>
      <c r="AK43" s="23"/>
      <c r="AL43" s="258">
        <f t="shared" si="10"/>
        <v>0</v>
      </c>
      <c r="AM43" s="221">
        <v>10</v>
      </c>
      <c r="AN43" s="38"/>
      <c r="AR43" s="2"/>
      <c r="AS43" s="11"/>
      <c r="AT43" s="11"/>
      <c r="AU43" s="11"/>
      <c r="AV43" s="2"/>
    </row>
    <row r="44" spans="1:54" ht="15.75" x14ac:dyDescent="0.25">
      <c r="A44" s="124"/>
      <c r="B44" s="124"/>
      <c r="C44" s="124"/>
      <c r="D44" s="124"/>
      <c r="E44" s="124"/>
      <c r="F44" s="124"/>
      <c r="G44" s="124"/>
      <c r="H44" s="124"/>
      <c r="I44" s="124"/>
      <c r="J44" s="135"/>
      <c r="K44" s="124"/>
      <c r="L44" s="124"/>
      <c r="M44" s="124"/>
      <c r="N44" s="324"/>
      <c r="O44" s="324"/>
      <c r="P44" s="124"/>
      <c r="Q44" s="124"/>
      <c r="R44" s="135"/>
      <c r="S44" s="124"/>
      <c r="T44" s="124"/>
      <c r="U44" s="124"/>
      <c r="V44" s="124"/>
      <c r="W44" s="135"/>
      <c r="X44" s="182">
        <v>12</v>
      </c>
      <c r="Y44" s="200"/>
      <c r="Z44" s="201"/>
      <c r="AA44" s="221"/>
      <c r="AB44" s="182"/>
      <c r="AC44" s="258"/>
      <c r="AD44" s="210"/>
      <c r="AE44" s="108">
        <f t="shared" si="8"/>
        <v>0</v>
      </c>
      <c r="AF44" s="182"/>
      <c r="AG44" s="182"/>
      <c r="AH44" s="202"/>
      <c r="AI44" s="203"/>
      <c r="AJ44" s="108">
        <f t="shared" si="11"/>
        <v>0</v>
      </c>
      <c r="AK44" s="25"/>
      <c r="AL44" s="258">
        <f t="shared" si="10"/>
        <v>0</v>
      </c>
      <c r="AM44" s="221">
        <v>11</v>
      </c>
      <c r="AN44" s="28"/>
      <c r="AR44" s="2"/>
      <c r="AS44" s="11"/>
      <c r="AT44" s="11"/>
      <c r="AU44" s="11"/>
      <c r="AV44" s="2"/>
    </row>
    <row r="45" spans="1:54" ht="15.75" x14ac:dyDescent="0.25">
      <c r="A45" s="135"/>
      <c r="B45" s="135"/>
      <c r="C45" s="135"/>
      <c r="D45" s="135"/>
      <c r="E45" s="135"/>
      <c r="F45" s="135"/>
      <c r="G45" s="135"/>
      <c r="H45" s="135"/>
      <c r="I45" s="135"/>
      <c r="J45" s="135"/>
      <c r="K45" s="135"/>
      <c r="L45" s="135"/>
      <c r="M45" s="135"/>
      <c r="N45" s="326"/>
      <c r="O45" s="327"/>
      <c r="P45" s="135"/>
      <c r="Q45" s="124"/>
      <c r="R45" s="135"/>
      <c r="S45" s="124"/>
      <c r="T45" s="124"/>
      <c r="U45" s="124"/>
      <c r="V45" s="124"/>
      <c r="W45" s="135"/>
      <c r="X45" s="182">
        <v>13</v>
      </c>
      <c r="Y45" s="200"/>
      <c r="Z45" s="201"/>
      <c r="AA45" s="182"/>
      <c r="AB45" s="182"/>
      <c r="AC45" s="258"/>
      <c r="AD45" s="210"/>
      <c r="AE45" s="108">
        <f t="shared" si="8"/>
        <v>0</v>
      </c>
      <c r="AF45" s="182"/>
      <c r="AG45" s="208"/>
      <c r="AH45" s="202"/>
      <c r="AI45" s="203"/>
      <c r="AJ45" s="108">
        <f t="shared" si="11"/>
        <v>0</v>
      </c>
      <c r="AK45" s="25"/>
      <c r="AL45" s="258">
        <f t="shared" si="10"/>
        <v>0</v>
      </c>
      <c r="AM45" s="221">
        <v>12</v>
      </c>
      <c r="AN45" s="32"/>
      <c r="AR45" s="2"/>
      <c r="AS45" s="11"/>
      <c r="AT45" s="11"/>
      <c r="AU45" s="11"/>
      <c r="AV45" s="2"/>
    </row>
    <row r="46" spans="1:54" ht="18.75" x14ac:dyDescent="0.3">
      <c r="A46" s="135"/>
      <c r="B46" s="135"/>
      <c r="C46" s="135"/>
      <c r="D46" s="135"/>
      <c r="E46" s="135"/>
      <c r="F46" s="135"/>
      <c r="G46" s="135"/>
      <c r="H46" s="135"/>
      <c r="I46" s="135"/>
      <c r="J46" s="124"/>
      <c r="K46" s="135"/>
      <c r="L46" s="135"/>
      <c r="M46" s="135"/>
      <c r="N46" s="135"/>
      <c r="O46" s="135"/>
      <c r="P46" s="135" t="s">
        <v>14</v>
      </c>
      <c r="Q46" s="124"/>
      <c r="R46" s="135"/>
      <c r="S46" s="124"/>
      <c r="T46" s="124"/>
      <c r="U46" s="124"/>
      <c r="V46" s="124"/>
      <c r="W46" s="135"/>
      <c r="X46" s="182">
        <v>14</v>
      </c>
      <c r="Y46" s="200"/>
      <c r="Z46" s="201"/>
      <c r="AA46" s="182"/>
      <c r="AB46" s="182"/>
      <c r="AC46" s="258"/>
      <c r="AD46" s="210"/>
      <c r="AE46" s="108">
        <f t="shared" ref="AE46:AE62" si="12">SUM(AC46:AD46)</f>
        <v>0</v>
      </c>
      <c r="AF46" s="182"/>
      <c r="AG46" s="226"/>
      <c r="AH46" s="202"/>
      <c r="AI46" s="203"/>
      <c r="AJ46" s="108">
        <f t="shared" ref="AJ46:AJ62" si="13">AE46</f>
        <v>0</v>
      </c>
      <c r="AK46" s="163"/>
      <c r="AL46" s="258">
        <f t="shared" si="10"/>
        <v>0</v>
      </c>
      <c r="AM46" s="221">
        <v>13</v>
      </c>
      <c r="AN46" s="34"/>
      <c r="AR46" s="2"/>
      <c r="AS46" s="11"/>
      <c r="AT46" s="11"/>
      <c r="AU46" s="11"/>
      <c r="AV46" s="2"/>
    </row>
    <row r="47" spans="1:54" ht="15.75" x14ac:dyDescent="0.25">
      <c r="A47" s="280"/>
      <c r="B47" s="135"/>
      <c r="C47" s="135"/>
      <c r="D47" s="135"/>
      <c r="E47" s="135"/>
      <c r="F47" s="281"/>
      <c r="G47" s="135"/>
      <c r="H47" s="135"/>
      <c r="I47" s="135"/>
      <c r="J47" s="135"/>
      <c r="K47" s="135"/>
      <c r="L47" s="135"/>
      <c r="M47" s="135"/>
      <c r="N47" s="135"/>
      <c r="O47" s="135"/>
      <c r="P47" s="135"/>
      <c r="Q47" s="124"/>
      <c r="R47" s="135"/>
      <c r="S47" s="124"/>
      <c r="T47" s="124"/>
      <c r="U47" s="124"/>
      <c r="V47" s="124"/>
      <c r="W47" s="135"/>
      <c r="X47" s="182">
        <v>15</v>
      </c>
      <c r="Y47" s="200"/>
      <c r="Z47" s="201"/>
      <c r="AA47" s="182"/>
      <c r="AB47" s="228"/>
      <c r="AC47" s="258"/>
      <c r="AD47" s="210"/>
      <c r="AE47" s="108">
        <f t="shared" si="12"/>
        <v>0</v>
      </c>
      <c r="AF47" s="182"/>
      <c r="AG47" s="182"/>
      <c r="AH47" s="202"/>
      <c r="AI47" s="203"/>
      <c r="AJ47" s="108">
        <f t="shared" si="13"/>
        <v>0</v>
      </c>
      <c r="AK47" s="23"/>
      <c r="AL47" s="258">
        <f t="shared" si="10"/>
        <v>0</v>
      </c>
      <c r="AM47" s="221">
        <v>14</v>
      </c>
      <c r="AN47" s="24"/>
      <c r="BA47" s="7"/>
    </row>
    <row r="48" spans="1:54" ht="15.75" x14ac:dyDescent="0.25">
      <c r="A48" s="280"/>
      <c r="B48" s="135"/>
      <c r="C48" s="135"/>
      <c r="D48" s="135"/>
      <c r="E48" s="135"/>
      <c r="F48" s="135"/>
      <c r="G48" s="135"/>
      <c r="H48" s="135"/>
      <c r="I48" s="135"/>
      <c r="J48" s="135"/>
      <c r="K48" s="135"/>
      <c r="L48" s="135"/>
      <c r="M48" s="135"/>
      <c r="N48" s="135"/>
      <c r="O48" s="135"/>
      <c r="P48" s="135"/>
      <c r="Q48" s="124"/>
      <c r="R48" s="135"/>
      <c r="S48" s="124"/>
      <c r="T48" s="124"/>
      <c r="U48" s="124"/>
      <c r="V48" s="124"/>
      <c r="W48" s="135"/>
      <c r="X48" s="182">
        <v>16</v>
      </c>
      <c r="Y48" s="200"/>
      <c r="Z48" s="201"/>
      <c r="AA48" s="182"/>
      <c r="AB48" s="182"/>
      <c r="AC48" s="258"/>
      <c r="AD48" s="210"/>
      <c r="AE48" s="108">
        <f t="shared" si="12"/>
        <v>0</v>
      </c>
      <c r="AF48" s="182"/>
      <c r="AG48" s="182"/>
      <c r="AH48" s="202"/>
      <c r="AI48" s="203"/>
      <c r="AJ48" s="108">
        <f t="shared" si="13"/>
        <v>0</v>
      </c>
      <c r="AK48" s="23"/>
      <c r="AL48" s="258">
        <f t="shared" si="10"/>
        <v>0</v>
      </c>
      <c r="AM48" s="221">
        <v>15</v>
      </c>
      <c r="AN48" s="24"/>
      <c r="AY48" s="7"/>
      <c r="BA48" s="7"/>
    </row>
    <row r="49" spans="1:54" ht="18.75" x14ac:dyDescent="0.3">
      <c r="A49" s="280"/>
      <c r="B49" s="135"/>
      <c r="C49" s="135"/>
      <c r="D49" s="135"/>
      <c r="E49" s="135"/>
      <c r="F49" s="281"/>
      <c r="G49" s="135"/>
      <c r="H49" s="135"/>
      <c r="I49" s="135"/>
      <c r="J49" s="135"/>
      <c r="K49" s="135"/>
      <c r="L49" s="135"/>
      <c r="M49" s="135"/>
      <c r="N49" s="135"/>
      <c r="O49" s="135"/>
      <c r="P49" s="135"/>
      <c r="Q49" s="124"/>
      <c r="R49" s="135"/>
      <c r="S49" s="124"/>
      <c r="T49" s="124"/>
      <c r="U49" s="124"/>
      <c r="V49" s="124"/>
      <c r="W49" s="135"/>
      <c r="X49" s="182">
        <v>17</v>
      </c>
      <c r="Y49" s="223"/>
      <c r="Z49" s="224"/>
      <c r="AA49" s="208"/>
      <c r="AB49" s="208"/>
      <c r="AC49" s="277"/>
      <c r="AD49" s="108"/>
      <c r="AE49" s="108">
        <f t="shared" si="12"/>
        <v>0</v>
      </c>
      <c r="AF49" s="208"/>
      <c r="AG49" s="208"/>
      <c r="AH49" s="202"/>
      <c r="AI49" s="203"/>
      <c r="AJ49" s="108">
        <f t="shared" si="13"/>
        <v>0</v>
      </c>
      <c r="AK49" s="163"/>
      <c r="AL49" s="258">
        <f t="shared" si="10"/>
        <v>0</v>
      </c>
      <c r="AM49" s="221">
        <v>16</v>
      </c>
      <c r="AN49" s="22"/>
      <c r="AY49" s="7"/>
      <c r="BA49" s="7"/>
    </row>
    <row r="50" spans="1:54" ht="18.75" x14ac:dyDescent="0.3">
      <c r="A50" s="280"/>
      <c r="B50" s="135"/>
      <c r="C50" s="135"/>
      <c r="D50" s="135"/>
      <c r="E50" s="135"/>
      <c r="F50" s="281"/>
      <c r="G50" s="135"/>
      <c r="H50" s="135"/>
      <c r="I50" s="135"/>
      <c r="J50" s="135"/>
      <c r="K50" s="135"/>
      <c r="L50" s="135"/>
      <c r="M50" s="135"/>
      <c r="N50" s="135"/>
      <c r="O50" s="135"/>
      <c r="P50" s="135"/>
      <c r="Q50" s="124"/>
      <c r="R50" s="135"/>
      <c r="S50" s="124"/>
      <c r="T50" s="124"/>
      <c r="U50" s="124"/>
      <c r="V50" s="124"/>
      <c r="W50" s="135"/>
      <c r="X50" s="182">
        <v>18</v>
      </c>
      <c r="Y50" s="200"/>
      <c r="Z50" s="201"/>
      <c r="AA50" s="182"/>
      <c r="AB50" s="182"/>
      <c r="AC50" s="277"/>
      <c r="AD50" s="108"/>
      <c r="AE50" s="108">
        <f t="shared" si="12"/>
        <v>0</v>
      </c>
      <c r="AF50" s="182"/>
      <c r="AG50" s="216"/>
      <c r="AH50" s="202"/>
      <c r="AI50" s="203"/>
      <c r="AJ50" s="108">
        <f t="shared" si="13"/>
        <v>0</v>
      </c>
      <c r="AK50" s="163"/>
      <c r="AL50" s="258">
        <f t="shared" si="10"/>
        <v>0</v>
      </c>
      <c r="AM50" s="221">
        <v>17</v>
      </c>
      <c r="AN50" s="22"/>
      <c r="AY50" s="2"/>
    </row>
    <row r="51" spans="1:54" ht="18.75" x14ac:dyDescent="0.3">
      <c r="A51" s="280"/>
      <c r="B51" s="135"/>
      <c r="C51" s="135"/>
      <c r="D51" s="135"/>
      <c r="E51" s="135"/>
      <c r="F51" s="281"/>
      <c r="G51" s="135"/>
      <c r="H51" s="135"/>
      <c r="I51" s="135"/>
      <c r="J51" s="135"/>
      <c r="K51" s="135"/>
      <c r="L51" s="135"/>
      <c r="M51" s="135"/>
      <c r="N51" s="135"/>
      <c r="O51" s="135"/>
      <c r="P51" s="135"/>
      <c r="Q51" s="124"/>
      <c r="R51" s="135"/>
      <c r="S51" s="124"/>
      <c r="T51" s="124"/>
      <c r="U51" s="124"/>
      <c r="V51" s="124"/>
      <c r="W51" s="135"/>
      <c r="X51" s="182">
        <v>19</v>
      </c>
      <c r="Y51" s="200"/>
      <c r="Z51" s="201"/>
      <c r="AA51" s="182"/>
      <c r="AB51" s="221"/>
      <c r="AC51" s="277"/>
      <c r="AD51" s="108"/>
      <c r="AE51" s="108">
        <f t="shared" si="12"/>
        <v>0</v>
      </c>
      <c r="AF51" s="182"/>
      <c r="AG51" s="182"/>
      <c r="AH51" s="202"/>
      <c r="AI51" s="203"/>
      <c r="AJ51" s="108">
        <f t="shared" si="13"/>
        <v>0</v>
      </c>
      <c r="AK51" s="163"/>
      <c r="AL51" s="258">
        <f t="shared" si="10"/>
        <v>0</v>
      </c>
      <c r="AM51" s="221">
        <v>18</v>
      </c>
      <c r="AN51" s="22"/>
      <c r="AR51" s="2"/>
      <c r="AS51" s="2"/>
      <c r="AT51" s="2"/>
      <c r="AU51" s="2"/>
      <c r="AV51" s="2"/>
      <c r="AY51" s="2"/>
      <c r="AZ51" s="2"/>
      <c r="BA51" s="2"/>
      <c r="BB51" s="2"/>
    </row>
    <row r="52" spans="1:54" ht="18.75" x14ac:dyDescent="0.3">
      <c r="A52" s="280"/>
      <c r="B52" s="135"/>
      <c r="C52" s="135"/>
      <c r="D52" s="135"/>
      <c r="E52" s="135"/>
      <c r="F52" s="135"/>
      <c r="G52" s="135"/>
      <c r="H52" s="135"/>
      <c r="I52" s="135"/>
      <c r="J52" s="135"/>
      <c r="K52" s="135"/>
      <c r="L52" s="135"/>
      <c r="M52" s="135"/>
      <c r="N52" s="135"/>
      <c r="O52" s="135"/>
      <c r="P52" s="135"/>
      <c r="Q52" s="124"/>
      <c r="R52" s="135"/>
      <c r="S52" s="124"/>
      <c r="T52" s="124"/>
      <c r="U52" s="124"/>
      <c r="V52" s="124"/>
      <c r="W52" s="135"/>
      <c r="X52" s="182">
        <v>20</v>
      </c>
      <c r="Y52" s="200"/>
      <c r="Z52" s="201"/>
      <c r="AA52" s="182"/>
      <c r="AB52" s="182"/>
      <c r="AC52" s="277"/>
      <c r="AD52" s="108"/>
      <c r="AE52" s="108">
        <f t="shared" si="12"/>
        <v>0</v>
      </c>
      <c r="AF52" s="182"/>
      <c r="AG52" s="182"/>
      <c r="AH52" s="202"/>
      <c r="AI52" s="203"/>
      <c r="AJ52" s="108">
        <f t="shared" si="13"/>
        <v>0</v>
      </c>
      <c r="AK52" s="163"/>
      <c r="AL52" s="258">
        <f t="shared" si="10"/>
        <v>0</v>
      </c>
      <c r="AM52" s="221">
        <v>19</v>
      </c>
      <c r="AN52" s="22"/>
      <c r="AR52" s="92"/>
      <c r="AS52" s="11"/>
      <c r="AT52" s="11"/>
      <c r="AU52" s="2"/>
      <c r="AV52" s="2"/>
      <c r="AY52" s="2"/>
      <c r="AZ52" s="2"/>
      <c r="BA52" s="12"/>
      <c r="BB52" s="2"/>
    </row>
    <row r="53" spans="1:54" ht="18.75" x14ac:dyDescent="0.3">
      <c r="A53" s="280"/>
      <c r="B53" s="135"/>
      <c r="C53" s="135"/>
      <c r="D53" s="135"/>
      <c r="E53" s="135"/>
      <c r="F53" s="135"/>
      <c r="G53" s="135"/>
      <c r="H53" s="135"/>
      <c r="I53" s="135"/>
      <c r="J53" s="135"/>
      <c r="K53" s="135"/>
      <c r="L53" s="135"/>
      <c r="M53" s="135"/>
      <c r="N53" s="135"/>
      <c r="O53" s="135"/>
      <c r="P53" s="135"/>
      <c r="Q53" s="124"/>
      <c r="R53" s="135"/>
      <c r="S53" s="124"/>
      <c r="T53" s="124"/>
      <c r="U53" s="124"/>
      <c r="V53" s="124"/>
      <c r="W53" s="135"/>
      <c r="X53" s="182">
        <v>21</v>
      </c>
      <c r="Y53" s="200"/>
      <c r="Z53" s="201"/>
      <c r="AA53" s="182"/>
      <c r="AB53" s="225"/>
      <c r="AC53" s="277"/>
      <c r="AD53" s="108"/>
      <c r="AE53" s="108">
        <f t="shared" si="12"/>
        <v>0</v>
      </c>
      <c r="AF53" s="182"/>
      <c r="AG53" s="182"/>
      <c r="AH53" s="202"/>
      <c r="AI53" s="203"/>
      <c r="AJ53" s="108">
        <f t="shared" si="13"/>
        <v>0</v>
      </c>
      <c r="AK53" s="163"/>
      <c r="AL53" s="258">
        <f t="shared" si="10"/>
        <v>0</v>
      </c>
      <c r="AM53" s="221">
        <v>20</v>
      </c>
      <c r="AN53" s="16"/>
      <c r="AR53" s="92"/>
      <c r="AS53" s="11"/>
      <c r="AT53" s="11"/>
      <c r="AU53" s="2"/>
      <c r="AV53" s="2"/>
      <c r="AY53" s="12"/>
      <c r="AZ53" s="2"/>
      <c r="BA53" s="12"/>
      <c r="BB53" s="2"/>
    </row>
    <row r="54" spans="1:54" ht="18.75" x14ac:dyDescent="0.3">
      <c r="A54" s="280"/>
      <c r="B54" s="135"/>
      <c r="C54" s="135"/>
      <c r="D54" s="135"/>
      <c r="E54" s="135"/>
      <c r="F54" s="135"/>
      <c r="G54" s="135"/>
      <c r="H54" s="135"/>
      <c r="I54" s="135"/>
      <c r="J54" s="135"/>
      <c r="K54" s="135"/>
      <c r="L54" s="135"/>
      <c r="M54" s="135"/>
      <c r="N54" s="135"/>
      <c r="O54" s="135"/>
      <c r="P54" s="135"/>
      <c r="Q54" s="124"/>
      <c r="R54" s="135"/>
      <c r="S54" s="124"/>
      <c r="T54" s="124"/>
      <c r="U54" s="124"/>
      <c r="V54" s="124"/>
      <c r="W54" s="135"/>
      <c r="X54" s="182">
        <v>22</v>
      </c>
      <c r="Y54" s="200"/>
      <c r="Z54" s="201"/>
      <c r="AA54" s="182"/>
      <c r="AB54" s="182"/>
      <c r="AC54" s="277"/>
      <c r="AD54" s="108"/>
      <c r="AE54" s="108">
        <f t="shared" si="12"/>
        <v>0</v>
      </c>
      <c r="AF54" s="182"/>
      <c r="AG54" s="182"/>
      <c r="AH54" s="202"/>
      <c r="AI54" s="203"/>
      <c r="AJ54" s="108">
        <f t="shared" si="13"/>
        <v>0</v>
      </c>
      <c r="AK54" s="163"/>
      <c r="AL54" s="258">
        <f t="shared" si="10"/>
        <v>0</v>
      </c>
      <c r="AM54" s="221">
        <v>21</v>
      </c>
      <c r="AN54" s="22"/>
      <c r="AR54" s="92"/>
      <c r="AS54" s="11"/>
      <c r="AT54" s="11"/>
      <c r="AU54" s="2"/>
      <c r="AV54" s="2"/>
      <c r="AY54" s="12"/>
      <c r="AZ54" s="2"/>
      <c r="BA54" s="12"/>
      <c r="BB54" s="2"/>
    </row>
    <row r="55" spans="1:54" ht="18.75" x14ac:dyDescent="0.3">
      <c r="A55" s="280"/>
      <c r="B55" s="135"/>
      <c r="C55" s="135"/>
      <c r="D55" s="135"/>
      <c r="E55" s="135"/>
      <c r="F55" s="135"/>
      <c r="G55" s="135"/>
      <c r="H55" s="135"/>
      <c r="I55" s="135"/>
      <c r="J55" s="135"/>
      <c r="K55" s="135"/>
      <c r="L55" s="135"/>
      <c r="M55" s="135"/>
      <c r="N55" s="135"/>
      <c r="O55" s="135"/>
      <c r="P55" s="135"/>
      <c r="Q55" s="124"/>
      <c r="R55" s="135"/>
      <c r="S55" s="124"/>
      <c r="T55" s="124"/>
      <c r="U55" s="124"/>
      <c r="V55" s="124"/>
      <c r="W55" s="135"/>
      <c r="X55" s="182">
        <v>23</v>
      </c>
      <c r="Y55" s="217"/>
      <c r="Z55" s="201"/>
      <c r="AA55" s="182"/>
      <c r="AB55" s="221"/>
      <c r="AC55" s="277"/>
      <c r="AD55" s="108"/>
      <c r="AE55" s="108">
        <f t="shared" si="12"/>
        <v>0</v>
      </c>
      <c r="AF55" s="182"/>
      <c r="AG55" s="216"/>
      <c r="AH55" s="202"/>
      <c r="AI55" s="203"/>
      <c r="AJ55" s="108">
        <f t="shared" si="13"/>
        <v>0</v>
      </c>
      <c r="AK55" s="163"/>
      <c r="AL55" s="258">
        <f t="shared" si="10"/>
        <v>0</v>
      </c>
      <c r="AM55" s="221">
        <v>22</v>
      </c>
      <c r="AN55" s="22"/>
      <c r="AR55" s="92"/>
      <c r="AS55" s="2"/>
      <c r="AT55" s="2"/>
      <c r="AU55" s="2"/>
      <c r="AV55" s="2"/>
      <c r="AY55" s="2"/>
      <c r="AZ55" s="2"/>
      <c r="BA55" s="12"/>
      <c r="BB55" s="2"/>
    </row>
    <row r="56" spans="1:54" ht="18.75" x14ac:dyDescent="0.3">
      <c r="A56" s="280"/>
      <c r="B56" s="135"/>
      <c r="C56" s="135"/>
      <c r="D56" s="135"/>
      <c r="E56" s="135"/>
      <c r="F56" s="135"/>
      <c r="G56" s="135"/>
      <c r="H56" s="135"/>
      <c r="I56" s="135"/>
      <c r="J56" s="135"/>
      <c r="K56" s="135"/>
      <c r="L56" s="135"/>
      <c r="M56" s="135"/>
      <c r="N56" s="135"/>
      <c r="O56" s="135"/>
      <c r="P56" s="135"/>
      <c r="Q56" s="124"/>
      <c r="R56" s="135"/>
      <c r="S56" s="124"/>
      <c r="T56" s="124"/>
      <c r="U56" s="124"/>
      <c r="V56" s="124"/>
      <c r="W56" s="135"/>
      <c r="X56" s="182">
        <v>24</v>
      </c>
      <c r="Y56" s="200"/>
      <c r="Z56" s="201"/>
      <c r="AA56" s="182"/>
      <c r="AB56" s="182"/>
      <c r="AC56" s="277"/>
      <c r="AD56" s="108"/>
      <c r="AE56" s="108">
        <f t="shared" si="12"/>
        <v>0</v>
      </c>
      <c r="AF56" s="182"/>
      <c r="AG56" s="182"/>
      <c r="AH56" s="202"/>
      <c r="AI56" s="203"/>
      <c r="AJ56" s="108">
        <f t="shared" si="13"/>
        <v>0</v>
      </c>
      <c r="AK56" s="301"/>
      <c r="AL56" s="258">
        <f t="shared" si="10"/>
        <v>0</v>
      </c>
      <c r="AM56" s="221">
        <v>23</v>
      </c>
      <c r="AN56" s="22"/>
      <c r="AR56" s="2"/>
      <c r="AS56" s="2"/>
      <c r="AT56" s="2"/>
      <c r="AU56" s="2"/>
      <c r="AV56" s="2"/>
      <c r="AY56" s="2"/>
      <c r="AZ56" s="2"/>
      <c r="BA56" s="2"/>
      <c r="BB56" s="2"/>
    </row>
    <row r="57" spans="1:54" ht="18.75" x14ac:dyDescent="0.3">
      <c r="A57" s="280"/>
      <c r="B57" s="135"/>
      <c r="C57" s="135"/>
      <c r="D57" s="135"/>
      <c r="E57" s="135"/>
      <c r="F57" s="135"/>
      <c r="G57" s="135"/>
      <c r="H57" s="135"/>
      <c r="I57" s="135"/>
      <c r="J57" s="135"/>
      <c r="K57" s="135"/>
      <c r="L57" s="135"/>
      <c r="M57" s="135"/>
      <c r="N57" s="135"/>
      <c r="O57" s="135"/>
      <c r="P57" s="135"/>
      <c r="Q57" s="124"/>
      <c r="R57" s="135"/>
      <c r="S57" s="124"/>
      <c r="T57" s="124"/>
      <c r="U57" s="124"/>
      <c r="V57" s="124"/>
      <c r="W57" s="135"/>
      <c r="X57" s="182">
        <v>25</v>
      </c>
      <c r="Y57" s="200"/>
      <c r="Z57" s="201"/>
      <c r="AA57" s="182"/>
      <c r="AB57" s="182"/>
      <c r="AC57" s="277"/>
      <c r="AD57" s="108"/>
      <c r="AE57" s="108">
        <f t="shared" si="12"/>
        <v>0</v>
      </c>
      <c r="AF57" s="182"/>
      <c r="AG57" s="182"/>
      <c r="AH57" s="202"/>
      <c r="AI57" s="203"/>
      <c r="AJ57" s="108">
        <f t="shared" si="13"/>
        <v>0</v>
      </c>
      <c r="AK57" s="163"/>
      <c r="AL57" s="258">
        <f t="shared" si="10"/>
        <v>0</v>
      </c>
      <c r="AM57" s="221">
        <v>24</v>
      </c>
      <c r="AN57" s="36"/>
      <c r="AR57" s="92"/>
      <c r="AS57" s="2"/>
      <c r="AT57" s="2"/>
      <c r="AU57" s="2"/>
      <c r="AV57" s="2"/>
      <c r="AY57" s="2"/>
      <c r="AZ57" s="2"/>
      <c r="BA57" s="2"/>
      <c r="BB57" s="2"/>
    </row>
    <row r="58" spans="1:54" ht="18.75" x14ac:dyDescent="0.3">
      <c r="A58" s="280"/>
      <c r="B58" s="135"/>
      <c r="C58" s="135"/>
      <c r="D58" s="135"/>
      <c r="E58" s="135"/>
      <c r="F58" s="135"/>
      <c r="G58" s="135"/>
      <c r="H58" s="135"/>
      <c r="I58" s="135"/>
      <c r="J58" s="135"/>
      <c r="K58" s="135"/>
      <c r="L58" s="135"/>
      <c r="M58" s="135"/>
      <c r="N58" s="135"/>
      <c r="O58" s="135"/>
      <c r="P58" s="135"/>
      <c r="Q58" s="124"/>
      <c r="R58" s="135"/>
      <c r="S58" s="124"/>
      <c r="T58" s="124"/>
      <c r="U58" s="124"/>
      <c r="V58" s="124"/>
      <c r="W58" s="135"/>
      <c r="X58" s="182">
        <v>26</v>
      </c>
      <c r="Y58" s="200"/>
      <c r="Z58" s="201"/>
      <c r="AA58" s="182"/>
      <c r="AB58" s="182"/>
      <c r="AC58" s="277"/>
      <c r="AD58" s="108"/>
      <c r="AE58" s="108">
        <f t="shared" si="12"/>
        <v>0</v>
      </c>
      <c r="AF58" s="182"/>
      <c r="AG58" s="182"/>
      <c r="AH58" s="202"/>
      <c r="AI58" s="203"/>
      <c r="AJ58" s="108">
        <f t="shared" si="13"/>
        <v>0</v>
      </c>
      <c r="AK58" s="163"/>
      <c r="AL58" s="258">
        <f t="shared" si="10"/>
        <v>0</v>
      </c>
      <c r="AM58" s="221">
        <v>25</v>
      </c>
      <c r="AN58" s="16"/>
      <c r="AR58" s="2"/>
      <c r="AS58" s="2"/>
      <c r="AT58" s="2"/>
      <c r="AU58" s="2"/>
      <c r="AV58" s="2"/>
      <c r="AY58" s="2"/>
      <c r="AZ58" s="2"/>
      <c r="BA58" s="2"/>
      <c r="BB58" s="2"/>
    </row>
    <row r="59" spans="1:54" ht="18.75" x14ac:dyDescent="0.3">
      <c r="A59" s="280"/>
      <c r="B59" s="135"/>
      <c r="C59" s="135"/>
      <c r="D59" s="135"/>
      <c r="E59" s="135"/>
      <c r="F59" s="135"/>
      <c r="G59" s="135"/>
      <c r="H59" s="135"/>
      <c r="I59" s="135"/>
      <c r="J59" s="135"/>
      <c r="K59" s="135"/>
      <c r="L59" s="135"/>
      <c r="M59" s="135"/>
      <c r="N59" s="135"/>
      <c r="O59" s="135"/>
      <c r="P59" s="135"/>
      <c r="Q59" s="124"/>
      <c r="R59" s="135"/>
      <c r="S59" s="124"/>
      <c r="T59" s="124"/>
      <c r="U59" s="124"/>
      <c r="V59" s="124"/>
      <c r="W59" s="135"/>
      <c r="X59" s="182">
        <v>27</v>
      </c>
      <c r="Y59" s="200"/>
      <c r="Z59" s="201"/>
      <c r="AA59" s="182"/>
      <c r="AB59" s="182"/>
      <c r="AC59" s="277"/>
      <c r="AD59" s="108"/>
      <c r="AE59" s="108">
        <f t="shared" si="12"/>
        <v>0</v>
      </c>
      <c r="AF59" s="182"/>
      <c r="AG59" s="182"/>
      <c r="AH59" s="202"/>
      <c r="AI59" s="203"/>
      <c r="AJ59" s="108">
        <f t="shared" si="13"/>
        <v>0</v>
      </c>
      <c r="AK59" s="163"/>
      <c r="AL59" s="258">
        <f t="shared" si="10"/>
        <v>0</v>
      </c>
      <c r="AM59" s="221">
        <v>26</v>
      </c>
      <c r="AN59" s="16"/>
      <c r="AR59" s="2"/>
      <c r="AS59" s="2"/>
      <c r="AT59" s="2"/>
      <c r="AU59" s="2"/>
      <c r="AV59" s="12"/>
      <c r="AY59" s="2"/>
      <c r="AZ59" s="2"/>
      <c r="BA59" s="2"/>
      <c r="BB59" s="2"/>
    </row>
    <row r="60" spans="1:54" ht="18.75" x14ac:dyDescent="0.3">
      <c r="A60" s="280"/>
      <c r="B60" s="135"/>
      <c r="C60" s="135"/>
      <c r="D60" s="135"/>
      <c r="E60" s="135"/>
      <c r="F60" s="135"/>
      <c r="G60" s="135"/>
      <c r="H60" s="135"/>
      <c r="I60" s="135"/>
      <c r="J60" s="135"/>
      <c r="K60" s="135"/>
      <c r="L60" s="135"/>
      <c r="M60" s="135"/>
      <c r="N60" s="135"/>
      <c r="O60" s="135"/>
      <c r="P60" s="135"/>
      <c r="Q60" s="124"/>
      <c r="R60" s="135"/>
      <c r="S60" s="124"/>
      <c r="T60" s="124"/>
      <c r="U60" s="124"/>
      <c r="V60" s="124"/>
      <c r="W60" s="135"/>
      <c r="X60" s="182">
        <v>28</v>
      </c>
      <c r="Y60" s="200"/>
      <c r="Z60" s="201"/>
      <c r="AA60" s="182"/>
      <c r="AB60" s="227"/>
      <c r="AC60" s="277"/>
      <c r="AD60" s="108"/>
      <c r="AE60" s="108">
        <f t="shared" si="12"/>
        <v>0</v>
      </c>
      <c r="AF60" s="182"/>
      <c r="AG60" s="182"/>
      <c r="AH60" s="202"/>
      <c r="AI60" s="203"/>
      <c r="AJ60" s="108">
        <f t="shared" si="13"/>
        <v>0</v>
      </c>
      <c r="AK60" s="163"/>
      <c r="AL60" s="258">
        <f t="shared" si="10"/>
        <v>0</v>
      </c>
      <c r="AM60" s="221">
        <v>27</v>
      </c>
      <c r="AN60" s="16"/>
      <c r="AR60" s="12"/>
      <c r="AS60" s="2"/>
      <c r="AT60" s="2"/>
      <c r="AU60" s="2"/>
      <c r="AV60" s="12"/>
      <c r="AY60" s="2"/>
      <c r="AZ60" s="2"/>
      <c r="BA60" s="2"/>
      <c r="BB60" s="2"/>
    </row>
    <row r="61" spans="1:54" ht="18.75" x14ac:dyDescent="0.3">
      <c r="A61" s="280"/>
      <c r="B61" s="135"/>
      <c r="C61" s="135"/>
      <c r="D61" s="135"/>
      <c r="E61" s="135"/>
      <c r="F61" s="135"/>
      <c r="G61" s="135"/>
      <c r="H61" s="135"/>
      <c r="I61" s="135"/>
      <c r="J61" s="135"/>
      <c r="K61" s="135"/>
      <c r="L61" s="135"/>
      <c r="M61" s="135"/>
      <c r="N61" s="135"/>
      <c r="O61" s="135"/>
      <c r="P61" s="135"/>
      <c r="Q61" s="124"/>
      <c r="R61" s="135"/>
      <c r="S61" s="124"/>
      <c r="T61" s="124"/>
      <c r="U61" s="124"/>
      <c r="V61" s="124"/>
      <c r="W61" s="135"/>
      <c r="X61" s="182">
        <v>29</v>
      </c>
      <c r="Y61" s="223"/>
      <c r="Z61" s="224"/>
      <c r="AA61" s="208"/>
      <c r="AB61" s="208"/>
      <c r="AC61" s="277"/>
      <c r="AD61" s="210"/>
      <c r="AE61" s="108">
        <f t="shared" si="12"/>
        <v>0</v>
      </c>
      <c r="AF61" s="182"/>
      <c r="AG61" s="182"/>
      <c r="AH61" s="282"/>
      <c r="AI61" s="203"/>
      <c r="AJ61" s="108">
        <f t="shared" si="13"/>
        <v>0</v>
      </c>
      <c r="AK61" s="306"/>
      <c r="AL61" s="258">
        <f t="shared" si="10"/>
        <v>0</v>
      </c>
      <c r="AM61" s="221">
        <v>28</v>
      </c>
      <c r="AN61" s="16"/>
      <c r="AR61" s="12"/>
      <c r="AS61" s="2"/>
      <c r="AT61" s="2"/>
      <c r="AU61" s="2"/>
      <c r="AV61" s="12"/>
    </row>
    <row r="62" spans="1:54" ht="18.75" x14ac:dyDescent="0.3">
      <c r="A62" s="280"/>
      <c r="B62" s="135"/>
      <c r="C62" s="135"/>
      <c r="D62" s="135"/>
      <c r="E62" s="135"/>
      <c r="F62" s="135"/>
      <c r="G62" s="135"/>
      <c r="H62" s="135"/>
      <c r="I62" s="135"/>
      <c r="J62" s="135"/>
      <c r="K62" s="135"/>
      <c r="L62" s="135"/>
      <c r="M62" s="135"/>
      <c r="N62" s="135"/>
      <c r="O62" s="135"/>
      <c r="P62" s="135"/>
      <c r="Q62" s="124"/>
      <c r="R62" s="135"/>
      <c r="S62" s="124"/>
      <c r="T62" s="124"/>
      <c r="U62" s="124"/>
      <c r="V62" s="124"/>
      <c r="W62" s="135"/>
      <c r="X62" s="182">
        <v>30</v>
      </c>
      <c r="Y62" s="223"/>
      <c r="Z62" s="224"/>
      <c r="AA62" s="208"/>
      <c r="AB62" s="208"/>
      <c r="AC62" s="277"/>
      <c r="AD62" s="108"/>
      <c r="AE62" s="108">
        <f t="shared" si="12"/>
        <v>0</v>
      </c>
      <c r="AF62" s="182"/>
      <c r="AG62" s="283"/>
      <c r="AH62" s="284"/>
      <c r="AI62" s="285"/>
      <c r="AJ62" s="286">
        <f t="shared" si="13"/>
        <v>0</v>
      </c>
      <c r="AK62" s="301"/>
      <c r="AL62" s="258">
        <f t="shared" si="10"/>
        <v>0</v>
      </c>
      <c r="AM62" s="221">
        <v>29</v>
      </c>
      <c r="AN62" s="16"/>
      <c r="AR62" s="2"/>
      <c r="AS62" s="2"/>
      <c r="AT62" s="2"/>
      <c r="AU62" s="2"/>
      <c r="AV62" s="12"/>
    </row>
    <row r="63" spans="1:54" ht="18.75" x14ac:dyDescent="0.3">
      <c r="A63" s="280"/>
      <c r="B63" s="135"/>
      <c r="C63" s="135"/>
      <c r="D63" s="135"/>
      <c r="E63" s="135"/>
      <c r="F63" s="135"/>
      <c r="G63" s="135"/>
      <c r="H63" s="135"/>
      <c r="I63" s="135"/>
      <c r="J63" s="135"/>
      <c r="K63" s="135"/>
      <c r="L63" s="135"/>
      <c r="M63" s="135"/>
      <c r="N63" s="135"/>
      <c r="O63" s="135"/>
      <c r="P63" s="135"/>
      <c r="Q63" s="124"/>
      <c r="R63" s="135"/>
      <c r="S63" s="124"/>
      <c r="T63" s="124"/>
      <c r="U63" s="124"/>
      <c r="V63" s="124"/>
      <c r="W63" s="135"/>
      <c r="X63" s="24"/>
      <c r="Y63" s="160"/>
      <c r="Z63" s="161"/>
      <c r="AA63" s="24"/>
      <c r="AB63" s="24"/>
      <c r="AC63" s="277">
        <f>SUM(AC33:AC62)</f>
        <v>0</v>
      </c>
      <c r="AD63" s="287"/>
      <c r="AE63" s="163"/>
      <c r="AF63" s="24"/>
      <c r="AG63" s="288"/>
      <c r="AH63" s="289" t="s">
        <v>75</v>
      </c>
      <c r="AI63" s="290"/>
      <c r="AJ63" s="291">
        <f>SUM(AJ3:AJ62)</f>
        <v>0</v>
      </c>
      <c r="AK63" s="163"/>
      <c r="AL63" s="307">
        <f t="shared" si="10"/>
        <v>0</v>
      </c>
      <c r="AM63" s="221">
        <v>30</v>
      </c>
      <c r="AN63" s="16"/>
      <c r="AR63" s="2"/>
      <c r="AS63" s="2"/>
      <c r="AT63" s="2"/>
      <c r="AU63" s="2"/>
      <c r="AV63" s="12"/>
    </row>
    <row r="64" spans="1:54" ht="18.75" x14ac:dyDescent="0.3">
      <c r="A64" s="280"/>
      <c r="B64" s="135"/>
      <c r="C64" s="135"/>
      <c r="D64" s="135"/>
      <c r="E64" s="135"/>
      <c r="F64" s="135"/>
      <c r="G64" s="135"/>
      <c r="H64" s="135"/>
      <c r="I64" s="135"/>
      <c r="J64" s="135"/>
      <c r="K64" s="135"/>
      <c r="L64" s="135"/>
      <c r="M64" s="135"/>
      <c r="N64" s="135"/>
      <c r="O64" s="135"/>
      <c r="P64" s="135"/>
      <c r="Q64" s="124"/>
      <c r="R64" s="135"/>
      <c r="S64" s="124"/>
      <c r="T64" s="124"/>
      <c r="U64" s="124"/>
      <c r="V64" s="124"/>
      <c r="W64" s="135"/>
      <c r="X64" s="24"/>
      <c r="Y64" s="292"/>
      <c r="Z64" s="293"/>
      <c r="AA64" s="32"/>
      <c r="AB64" s="294"/>
      <c r="AC64" s="295" t="s">
        <v>16</v>
      </c>
      <c r="AD64" s="296">
        <f>SUM(AD33:AD63)</f>
        <v>0</v>
      </c>
      <c r="AE64" s="163"/>
      <c r="AF64" s="24"/>
      <c r="AG64" s="24"/>
      <c r="AH64" s="297"/>
      <c r="AI64" s="165"/>
      <c r="AJ64" s="163"/>
      <c r="AK64" s="163"/>
      <c r="AL64" s="258">
        <f t="shared" si="10"/>
        <v>0</v>
      </c>
      <c r="AM64" s="38"/>
      <c r="AN64" s="36"/>
      <c r="AR64" s="2"/>
      <c r="AS64" s="2"/>
      <c r="AT64" s="2"/>
      <c r="AU64" s="2"/>
      <c r="AV64" s="12"/>
    </row>
    <row r="65" spans="1:55" ht="18.75" x14ac:dyDescent="0.3">
      <c r="A65" s="280"/>
      <c r="B65" s="135"/>
      <c r="C65" s="135"/>
      <c r="D65" s="135"/>
      <c r="E65" s="135"/>
      <c r="F65" s="135"/>
      <c r="G65" s="135"/>
      <c r="H65" s="135"/>
      <c r="I65" s="135"/>
      <c r="J65" s="135"/>
      <c r="K65" s="135"/>
      <c r="L65" s="135"/>
      <c r="M65" s="135"/>
      <c r="N65" s="135"/>
      <c r="O65" s="135"/>
      <c r="P65" s="135"/>
      <c r="Q65" s="124"/>
      <c r="R65" s="135"/>
      <c r="S65" s="124"/>
      <c r="T65" s="124"/>
      <c r="U65" s="124"/>
      <c r="V65" s="124"/>
      <c r="W65" s="135"/>
      <c r="X65" s="24"/>
      <c r="Y65" s="160"/>
      <c r="Z65" s="161"/>
      <c r="AA65" s="24"/>
      <c r="AB65" s="24"/>
      <c r="AC65" s="163"/>
      <c r="AD65" s="163"/>
      <c r="AE65" s="163"/>
      <c r="AF65" s="24"/>
      <c r="AG65" s="24"/>
      <c r="AH65" s="297"/>
      <c r="AI65" s="165"/>
      <c r="AJ65" s="163"/>
      <c r="AK65" s="163"/>
      <c r="AL65" s="24"/>
      <c r="AM65" s="308"/>
      <c r="AN65" s="16"/>
      <c r="AR65" s="2"/>
      <c r="AS65" s="2"/>
      <c r="AT65" s="2"/>
      <c r="AU65" s="2"/>
      <c r="AV65" s="2"/>
    </row>
    <row r="66" spans="1:55" ht="18.75" x14ac:dyDescent="0.3">
      <c r="A66" s="280"/>
      <c r="B66" s="135"/>
      <c r="C66" s="135"/>
      <c r="D66" s="135"/>
      <c r="E66" s="135"/>
      <c r="F66" s="135"/>
      <c r="G66" s="135"/>
      <c r="H66" s="135"/>
      <c r="I66" s="135"/>
      <c r="J66" s="135"/>
      <c r="K66" s="135"/>
      <c r="L66" s="135"/>
      <c r="M66" s="135"/>
      <c r="N66" s="135"/>
      <c r="O66" s="135"/>
      <c r="P66" s="135"/>
      <c r="Q66" s="124"/>
      <c r="R66" s="135"/>
      <c r="S66" s="124"/>
      <c r="T66" s="124"/>
      <c r="U66" s="124"/>
      <c r="V66" s="124"/>
      <c r="W66" s="135"/>
      <c r="X66" s="24"/>
      <c r="Y66" s="160"/>
      <c r="Z66" s="161"/>
      <c r="AA66" s="24"/>
      <c r="AB66" s="24"/>
      <c r="AC66" s="163"/>
      <c r="AD66" s="163"/>
      <c r="AE66" s="163"/>
      <c r="AF66" s="24"/>
      <c r="AG66" s="24"/>
      <c r="AH66" s="297"/>
      <c r="AI66" s="202" t="s">
        <v>76</v>
      </c>
      <c r="AJ66" s="163"/>
      <c r="AK66" s="163"/>
      <c r="AL66" s="24"/>
      <c r="AM66" s="308"/>
      <c r="AN66" s="16"/>
      <c r="AR66" s="2"/>
      <c r="AS66" s="2"/>
      <c r="AT66" s="2"/>
      <c r="AU66" s="2"/>
      <c r="AV66" s="2"/>
    </row>
    <row r="67" spans="1:55" ht="18.75" x14ac:dyDescent="0.3">
      <c r="A67" s="280"/>
      <c r="B67" s="135"/>
      <c r="C67" s="135"/>
      <c r="D67" s="135"/>
      <c r="E67" s="135"/>
      <c r="F67" s="135"/>
      <c r="G67" s="135"/>
      <c r="H67" s="135"/>
      <c r="I67" s="135"/>
      <c r="J67" s="135"/>
      <c r="K67" s="135"/>
      <c r="L67" s="135"/>
      <c r="M67" s="135"/>
      <c r="N67" s="135"/>
      <c r="O67" s="135"/>
      <c r="P67" s="135"/>
      <c r="Q67" s="124"/>
      <c r="R67" s="135"/>
      <c r="S67" s="124"/>
      <c r="T67" s="124"/>
      <c r="U67" s="124"/>
      <c r="V67" s="124"/>
      <c r="W67" s="135"/>
      <c r="X67" s="24"/>
      <c r="Y67" s="160"/>
      <c r="Z67" s="161"/>
      <c r="AA67" s="24"/>
      <c r="AB67" s="24"/>
      <c r="AC67" s="231" t="s">
        <v>16</v>
      </c>
      <c r="AD67" s="231">
        <f>AD30</f>
        <v>0</v>
      </c>
      <c r="AE67" s="163"/>
      <c r="AF67" s="24"/>
      <c r="AG67" s="24"/>
      <c r="AH67" s="297"/>
      <c r="AI67" s="233"/>
      <c r="AJ67" s="291">
        <f>AJ63</f>
        <v>0</v>
      </c>
      <c r="AK67" s="163"/>
      <c r="AL67" s="24"/>
      <c r="AM67" s="308"/>
      <c r="AN67" s="16"/>
      <c r="AR67" s="2"/>
      <c r="AS67" s="2"/>
      <c r="AT67" s="2"/>
      <c r="AU67" s="2"/>
      <c r="AV67" s="2"/>
    </row>
    <row r="68" spans="1:55" ht="18.75" x14ac:dyDescent="0.3">
      <c r="A68" s="280"/>
      <c r="B68" s="135"/>
      <c r="C68" s="135"/>
      <c r="D68" s="135"/>
      <c r="E68" s="135"/>
      <c r="F68" s="135"/>
      <c r="G68" s="135"/>
      <c r="H68" s="135"/>
      <c r="I68" s="135"/>
      <c r="J68" s="135"/>
      <c r="K68" s="135"/>
      <c r="L68" s="135"/>
      <c r="M68" s="135"/>
      <c r="N68" s="135"/>
      <c r="O68" s="135"/>
      <c r="P68" s="135"/>
      <c r="Q68" s="124"/>
      <c r="R68" s="135"/>
      <c r="S68" s="124"/>
      <c r="T68" s="124"/>
      <c r="U68" s="124"/>
      <c r="V68" s="124"/>
      <c r="W68" s="135"/>
      <c r="X68" s="24"/>
      <c r="Y68" s="160"/>
      <c r="Z68" s="161"/>
      <c r="AA68" s="24"/>
      <c r="AB68" s="24"/>
      <c r="AC68" s="295" t="s">
        <v>16</v>
      </c>
      <c r="AD68" s="296">
        <f>AD64</f>
        <v>0</v>
      </c>
      <c r="AE68" s="163"/>
      <c r="AF68" s="24"/>
      <c r="AG68" s="24"/>
      <c r="AH68" s="297"/>
      <c r="AI68" s="298" t="s">
        <v>32</v>
      </c>
      <c r="AJ68" s="295">
        <f>'JANV 2026'!AJ69</f>
        <v>0</v>
      </c>
      <c r="AK68" s="163"/>
      <c r="AL68" s="24"/>
      <c r="AM68" s="308"/>
      <c r="AN68" s="16"/>
      <c r="AR68" s="2"/>
      <c r="AS68" s="2"/>
      <c r="AT68" s="2"/>
      <c r="AU68" s="2"/>
      <c r="AV68" s="2"/>
      <c r="BC68" s="20"/>
    </row>
    <row r="69" spans="1:55" ht="18.75" x14ac:dyDescent="0.3">
      <c r="A69" s="280"/>
      <c r="B69" s="135"/>
      <c r="C69" s="135"/>
      <c r="D69" s="135"/>
      <c r="E69" s="135"/>
      <c r="F69" s="135"/>
      <c r="G69" s="135"/>
      <c r="H69" s="135"/>
      <c r="I69" s="135"/>
      <c r="J69" s="135"/>
      <c r="K69" s="135"/>
      <c r="L69" s="135"/>
      <c r="M69" s="135"/>
      <c r="N69" s="135"/>
      <c r="O69" s="135"/>
      <c r="P69" s="135"/>
      <c r="Q69" s="124"/>
      <c r="R69" s="135"/>
      <c r="S69" s="124"/>
      <c r="T69" s="124"/>
      <c r="U69" s="124"/>
      <c r="V69" s="124"/>
      <c r="W69" s="135"/>
      <c r="X69" s="24"/>
      <c r="Y69" s="160"/>
      <c r="Z69" s="161"/>
      <c r="AA69" s="24"/>
      <c r="AB69" s="24"/>
      <c r="AC69" s="299" t="s">
        <v>74</v>
      </c>
      <c r="AD69" s="299">
        <f>SUM(AD67:AD68)</f>
        <v>0</v>
      </c>
      <c r="AE69" s="163"/>
      <c r="AF69" s="24"/>
      <c r="AG69" s="24"/>
      <c r="AH69" s="297"/>
      <c r="AI69" s="298" t="s">
        <v>33</v>
      </c>
      <c r="AJ69" s="300">
        <f>SUM(AJ67:AJ68)</f>
        <v>0</v>
      </c>
      <c r="AK69" s="163"/>
      <c r="AL69" s="24"/>
      <c r="AM69" s="308"/>
      <c r="AN69" s="16"/>
      <c r="AR69" s="2"/>
      <c r="AS69" s="2"/>
      <c r="AT69" s="2"/>
      <c r="AU69" s="2"/>
      <c r="AV69" s="2"/>
      <c r="BC69" s="20"/>
    </row>
    <row r="70" spans="1:55" ht="18.75" x14ac:dyDescent="0.3">
      <c r="A70" s="1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X70" s="16"/>
      <c r="Y70" s="41"/>
      <c r="Z70" s="42"/>
      <c r="AA70" s="20"/>
      <c r="AB70" s="44"/>
      <c r="AC70" s="19"/>
      <c r="AD70" s="19"/>
      <c r="AE70" s="19"/>
      <c r="AF70" s="20"/>
      <c r="AG70" s="20"/>
      <c r="AH70" s="43"/>
      <c r="AI70" s="21"/>
      <c r="AJ70" s="22"/>
      <c r="AK70" s="17"/>
      <c r="AL70" s="16"/>
      <c r="AM70" s="39"/>
      <c r="AN70" s="22"/>
      <c r="AR70" s="2"/>
      <c r="AS70" s="2"/>
      <c r="AT70" s="2"/>
      <c r="AU70" s="2"/>
      <c r="AV70" s="2"/>
    </row>
    <row r="71" spans="1:55" ht="18.75" x14ac:dyDescent="0.3">
      <c r="A71" s="1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X71" s="16"/>
      <c r="Y71" s="45"/>
      <c r="Z71" s="46"/>
      <c r="AA71" s="47"/>
      <c r="AB71" s="47"/>
      <c r="AC71" s="48"/>
      <c r="AD71" s="48"/>
      <c r="AE71" s="19"/>
      <c r="AF71" s="20"/>
      <c r="AG71" s="20"/>
      <c r="AH71" s="43"/>
      <c r="AK71" s="17"/>
      <c r="AL71" s="16"/>
      <c r="AM71" s="39"/>
      <c r="AN71" s="22"/>
      <c r="BA71" s="7"/>
    </row>
    <row r="72" spans="1:55" ht="18.75" x14ac:dyDescent="0.3">
      <c r="A72" s="1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X72" s="16"/>
      <c r="Y72" s="45"/>
      <c r="Z72" s="46"/>
      <c r="AA72" s="47"/>
      <c r="AB72" s="47"/>
      <c r="AC72" s="19"/>
      <c r="AD72" s="19"/>
      <c r="AE72" s="19"/>
      <c r="AF72" s="20"/>
      <c r="AG72" s="20"/>
      <c r="AH72" s="43"/>
      <c r="AK72" s="17"/>
      <c r="AL72" s="16"/>
      <c r="AM72" s="39"/>
      <c r="AN72" s="22"/>
      <c r="AY72" s="7"/>
      <c r="BA72" s="7"/>
    </row>
    <row r="73" spans="1:55" ht="18.75" x14ac:dyDescent="0.3">
      <c r="A73" s="1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X73" s="16"/>
      <c r="Y73" s="41"/>
      <c r="Z73" s="42"/>
      <c r="AA73" s="20"/>
      <c r="AB73" s="20"/>
      <c r="AC73" s="19"/>
      <c r="AD73" s="19"/>
      <c r="AE73" s="19"/>
      <c r="AF73" s="20"/>
      <c r="AG73" s="20"/>
      <c r="AH73" s="49"/>
      <c r="AK73" s="17"/>
      <c r="AL73" s="16"/>
      <c r="AM73" s="40" t="s">
        <v>34</v>
      </c>
      <c r="AN73" s="16"/>
      <c r="AY73" s="7"/>
      <c r="BA73" s="7"/>
    </row>
    <row r="74" spans="1:55" x14ac:dyDescent="0.2">
      <c r="A74" s="1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AY74" s="2"/>
    </row>
    <row r="75" spans="1:55" x14ac:dyDescent="0.2">
      <c r="A75" s="1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AR75" s="2"/>
      <c r="AS75" s="2"/>
      <c r="AT75" s="2"/>
      <c r="AU75" s="2"/>
      <c r="AV75" s="2"/>
      <c r="AY75" s="2"/>
      <c r="AZ75" s="2"/>
      <c r="BA75" s="2"/>
      <c r="BB75" s="2"/>
    </row>
    <row r="76" spans="1:55" x14ac:dyDescent="0.2">
      <c r="A76" s="1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AR76" s="92"/>
      <c r="AS76" s="11"/>
      <c r="AT76" s="11"/>
      <c r="AU76" s="11"/>
      <c r="AV76" s="2"/>
      <c r="AY76" s="2"/>
      <c r="AZ76" s="2"/>
      <c r="BA76" s="12"/>
      <c r="BB76" s="2"/>
    </row>
    <row r="77" spans="1:55" x14ac:dyDescent="0.2">
      <c r="A77" s="12"/>
      <c r="B77" s="2"/>
      <c r="L77" s="2"/>
      <c r="M77" s="2"/>
      <c r="N77" s="2"/>
      <c r="O77" s="2"/>
      <c r="AR77" s="92"/>
      <c r="AS77" s="11"/>
      <c r="AT77" s="11"/>
      <c r="AU77" s="11"/>
      <c r="AV77" s="2"/>
      <c r="AY77" s="12"/>
      <c r="AZ77" s="2"/>
      <c r="BA77" s="12"/>
      <c r="BB77" s="2"/>
    </row>
    <row r="78" spans="1:55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AR78" s="92"/>
      <c r="AS78" s="11"/>
      <c r="AT78" s="11"/>
      <c r="AU78" s="11"/>
      <c r="AV78" s="2"/>
      <c r="AY78" s="12"/>
      <c r="AZ78" s="2"/>
      <c r="BA78" s="12"/>
      <c r="BB78" s="2"/>
    </row>
    <row r="79" spans="1:55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AR79" s="92"/>
      <c r="AS79" s="2"/>
      <c r="AT79" s="2"/>
      <c r="AU79" s="2"/>
      <c r="AV79" s="2"/>
      <c r="AY79" s="2"/>
      <c r="AZ79" s="2"/>
      <c r="BA79" s="12"/>
      <c r="BB79" s="2"/>
    </row>
    <row r="80" spans="1:55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AR80" s="2"/>
      <c r="AS80" s="11"/>
      <c r="AT80" s="11"/>
      <c r="AU80" s="11"/>
      <c r="AV80" s="2"/>
      <c r="AY80" s="2"/>
      <c r="AZ80" s="2"/>
      <c r="BA80" s="2"/>
      <c r="BB80" s="2"/>
    </row>
    <row r="81" spans="1:54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AR81" s="92"/>
      <c r="AS81" s="2"/>
      <c r="AT81" s="2"/>
      <c r="AU81" s="2"/>
      <c r="AV81" s="2"/>
      <c r="AY81" s="2"/>
      <c r="AZ81" s="2"/>
      <c r="BA81" s="2"/>
      <c r="BB81" s="2"/>
    </row>
    <row r="82" spans="1:54" x14ac:dyDescent="0.2">
      <c r="A82" s="2"/>
      <c r="B82" s="2"/>
      <c r="C82" s="2"/>
      <c r="D82" s="2"/>
      <c r="E82" s="2"/>
      <c r="F82" s="2"/>
      <c r="G82" s="2"/>
      <c r="H82" s="2"/>
      <c r="I82" s="2"/>
      <c r="J82" s="13"/>
      <c r="K82" s="2"/>
      <c r="L82" s="2"/>
      <c r="M82" s="2"/>
      <c r="N82" s="2"/>
      <c r="O82" s="2"/>
      <c r="P82" s="2"/>
      <c r="AR82" s="2"/>
      <c r="AS82" s="2"/>
      <c r="AT82" s="2"/>
      <c r="AU82" s="2"/>
      <c r="AV82" s="2"/>
      <c r="AY82" s="2"/>
      <c r="AZ82" s="2"/>
      <c r="BA82" s="2"/>
      <c r="BB82" s="2"/>
    </row>
    <row r="83" spans="1:54" x14ac:dyDescent="0.2">
      <c r="J83" s="13"/>
      <c r="K83" s="2"/>
      <c r="AR83" s="2"/>
      <c r="AS83" s="2"/>
      <c r="AT83" s="2"/>
      <c r="AU83" s="2"/>
      <c r="AV83" s="12"/>
      <c r="AY83" s="2"/>
      <c r="AZ83" s="2"/>
      <c r="BA83" s="2"/>
      <c r="BB83" s="2"/>
    </row>
    <row r="84" spans="1:54" x14ac:dyDescent="0.2">
      <c r="AR84" s="12"/>
      <c r="AS84" s="2"/>
      <c r="AT84" s="2"/>
      <c r="AU84" s="2"/>
      <c r="AV84" s="12"/>
      <c r="AY84" s="2"/>
      <c r="AZ84" s="2"/>
      <c r="BA84" s="2"/>
      <c r="BB84" s="2"/>
    </row>
    <row r="85" spans="1:54" x14ac:dyDescent="0.2">
      <c r="A85" s="2"/>
      <c r="B85" s="2"/>
      <c r="AR85" s="12"/>
      <c r="AS85" s="2"/>
      <c r="AT85" s="2"/>
      <c r="AU85" s="2"/>
      <c r="AV85" s="12"/>
    </row>
    <row r="86" spans="1:54" x14ac:dyDescent="0.2">
      <c r="A86" s="2"/>
      <c r="B86" s="2"/>
      <c r="C86" s="2"/>
      <c r="D86" s="2"/>
      <c r="E86" s="2"/>
      <c r="F86" s="6"/>
      <c r="I86" s="6"/>
      <c r="AR86" s="2"/>
      <c r="AS86" s="2"/>
      <c r="AT86" s="2"/>
      <c r="AU86" s="2"/>
      <c r="AV86" s="12"/>
    </row>
    <row r="87" spans="1:54" x14ac:dyDescent="0.2">
      <c r="C87" s="5"/>
      <c r="F87" s="6"/>
      <c r="AR87" s="2"/>
      <c r="AS87" s="2"/>
      <c r="AT87" s="2"/>
      <c r="AU87" s="2"/>
      <c r="AV87" s="12"/>
    </row>
    <row r="88" spans="1:54" x14ac:dyDescent="0.2">
      <c r="C88" s="5"/>
      <c r="AR88" s="2"/>
      <c r="AS88" s="2"/>
      <c r="AT88" s="2"/>
      <c r="AU88" s="2"/>
      <c r="AV88" s="12"/>
    </row>
    <row r="89" spans="1:54" x14ac:dyDescent="0.2">
      <c r="C89" s="5"/>
      <c r="AR89" s="2"/>
      <c r="AS89" s="2"/>
      <c r="AT89" s="2"/>
      <c r="AU89" s="2"/>
      <c r="AV89" s="2"/>
    </row>
    <row r="90" spans="1:54" x14ac:dyDescent="0.2">
      <c r="C90" s="5"/>
      <c r="AR90" s="2"/>
      <c r="AS90" s="2"/>
      <c r="AT90" s="2"/>
      <c r="AU90" s="2"/>
      <c r="AV90" s="2"/>
    </row>
    <row r="91" spans="1:54" x14ac:dyDescent="0.2">
      <c r="C91" s="5"/>
      <c r="AR91" s="2"/>
      <c r="AS91" s="2"/>
      <c r="AT91" s="2"/>
      <c r="AU91" s="2"/>
      <c r="AV91" s="2"/>
    </row>
    <row r="92" spans="1:54" x14ac:dyDescent="0.2">
      <c r="C92" s="5"/>
      <c r="AR92" s="2"/>
      <c r="AS92" s="2"/>
      <c r="AT92" s="2"/>
      <c r="AU92" s="2"/>
      <c r="AV92" s="2"/>
    </row>
    <row r="93" spans="1:54" x14ac:dyDescent="0.2">
      <c r="C93" s="5"/>
      <c r="AR93" s="2"/>
      <c r="AS93" s="2"/>
      <c r="AT93" s="2"/>
      <c r="AU93" s="2"/>
      <c r="AV93" s="2"/>
    </row>
    <row r="94" spans="1:54" x14ac:dyDescent="0.2">
      <c r="C94" s="5"/>
      <c r="AR94" s="2"/>
      <c r="AS94" s="11"/>
      <c r="AT94" s="11"/>
      <c r="AU94" s="11"/>
      <c r="AV94" s="2"/>
    </row>
    <row r="95" spans="1:54" x14ac:dyDescent="0.2">
      <c r="C95" s="5"/>
    </row>
    <row r="96" spans="1:54" x14ac:dyDescent="0.2">
      <c r="C96" s="5"/>
    </row>
    <row r="97" spans="3:3" x14ac:dyDescent="0.2">
      <c r="C97" s="5"/>
    </row>
    <row r="98" spans="3:3" x14ac:dyDescent="0.2">
      <c r="C98" s="5"/>
    </row>
    <row r="99" spans="3:3" x14ac:dyDescent="0.2">
      <c r="C99" s="5"/>
    </row>
    <row r="100" spans="3:3" x14ac:dyDescent="0.2">
      <c r="C100" s="5"/>
    </row>
    <row r="101" spans="3:3" x14ac:dyDescent="0.2">
      <c r="C101" s="5"/>
    </row>
    <row r="102" spans="3:3" x14ac:dyDescent="0.2">
      <c r="C102" s="5"/>
    </row>
    <row r="103" spans="3:3" x14ac:dyDescent="0.2">
      <c r="C103" s="5"/>
    </row>
    <row r="104" spans="3:3" x14ac:dyDescent="0.2">
      <c r="C104" s="5"/>
    </row>
    <row r="105" spans="3:3" x14ac:dyDescent="0.2">
      <c r="C105" s="5"/>
    </row>
    <row r="106" spans="3:3" x14ac:dyDescent="0.2">
      <c r="C106" s="5"/>
    </row>
    <row r="107" spans="3:3" x14ac:dyDescent="0.2">
      <c r="C107" s="5"/>
    </row>
    <row r="108" spans="3:3" x14ac:dyDescent="0.2">
      <c r="C108" s="5"/>
    </row>
    <row r="109" spans="3:3" x14ac:dyDescent="0.2">
      <c r="C109" s="5"/>
    </row>
    <row r="110" spans="3:3" x14ac:dyDescent="0.2">
      <c r="C110" s="5"/>
    </row>
    <row r="111" spans="3:3" x14ac:dyDescent="0.2">
      <c r="C111" s="5"/>
    </row>
    <row r="112" spans="3:3" x14ac:dyDescent="0.2">
      <c r="C112" s="5"/>
    </row>
    <row r="113" spans="3:3" x14ac:dyDescent="0.2">
      <c r="C113" s="5"/>
    </row>
    <row r="114" spans="3:3" x14ac:dyDescent="0.2">
      <c r="C114" s="5"/>
    </row>
    <row r="115" spans="3:3" x14ac:dyDescent="0.2">
      <c r="C115" s="5"/>
    </row>
    <row r="116" spans="3:3" x14ac:dyDescent="0.2">
      <c r="C116" s="5"/>
    </row>
    <row r="117" spans="3:3" x14ac:dyDescent="0.2">
      <c r="C117" s="5"/>
    </row>
  </sheetData>
  <pageMargins left="0.25" right="0.25" top="0.75" bottom="0.75" header="0.3" footer="0.3"/>
  <pageSetup paperSize="9" scale="83" fitToHeight="0" orientation="landscape" horizontalDpi="4294967292" verticalDpi="4294967292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published="0">
    <pageSetUpPr fitToPage="1"/>
  </sheetPr>
  <dimension ref="A1:BE117"/>
  <sheetViews>
    <sheetView zoomScale="85" zoomScaleNormal="85" zoomScalePageLayoutView="85" workbookViewId="0">
      <pane ySplit="1" topLeftCell="A23" activePane="bottomLeft" state="frozen"/>
      <selection pane="bottomLeft" activeCell="N40" sqref="N40:O45"/>
    </sheetView>
  </sheetViews>
  <sheetFormatPr baseColWidth="10" defaultColWidth="11" defaultRowHeight="12.75" x14ac:dyDescent="0.2"/>
  <cols>
    <col min="1" max="1" width="11.25" bestFit="1" customWidth="1"/>
    <col min="2" max="2" width="9.25" bestFit="1" customWidth="1"/>
    <col min="3" max="3" width="9" customWidth="1"/>
    <col min="4" max="4" width="8.25" customWidth="1"/>
    <col min="5" max="5" width="9.375" customWidth="1"/>
    <col min="6" max="6" width="10" bestFit="1" customWidth="1"/>
    <col min="7" max="7" width="10.75" customWidth="1"/>
    <col min="8" max="8" width="9.375" customWidth="1"/>
    <col min="9" max="9" width="6.375" customWidth="1"/>
    <col min="10" max="10" width="8.375" customWidth="1"/>
    <col min="11" max="11" width="8.625" customWidth="1"/>
    <col min="12" max="12" width="7" customWidth="1"/>
    <col min="13" max="13" width="8.875" customWidth="1"/>
    <col min="14" max="14" width="8.25" customWidth="1"/>
    <col min="15" max="15" width="10.25" bestFit="1" customWidth="1"/>
    <col min="16" max="16" width="17.25" bestFit="1" customWidth="1"/>
    <col min="17" max="17" width="39.125" customWidth="1"/>
    <col min="18" max="18" width="11" style="2"/>
    <col min="19" max="19" width="8" customWidth="1"/>
    <col min="20" max="20" width="12.375" customWidth="1"/>
    <col min="21" max="21" width="2.625" customWidth="1"/>
    <col min="22" max="22" width="33.75" customWidth="1"/>
    <col min="23" max="23" width="9.375" style="2" customWidth="1"/>
    <col min="24" max="24" width="9.25" customWidth="1"/>
    <col min="25" max="25" width="15" bestFit="1" customWidth="1"/>
    <col min="26" max="26" width="10.375" customWidth="1"/>
    <col min="27" max="27" width="14.5" bestFit="1" customWidth="1"/>
    <col min="28" max="28" width="11.375" customWidth="1"/>
    <col min="29" max="29" width="11.25" bestFit="1" customWidth="1"/>
    <col min="30" max="30" width="8.75" customWidth="1"/>
    <col min="31" max="31" width="12.875" customWidth="1"/>
    <col min="32" max="32" width="13.875" bestFit="1" customWidth="1"/>
    <col min="33" max="33" width="12.375" customWidth="1"/>
    <col min="34" max="34" width="9.25" customWidth="1"/>
    <col min="35" max="35" width="16.75" bestFit="1" customWidth="1"/>
    <col min="36" max="36" width="9.5" bestFit="1" customWidth="1"/>
    <col min="37" max="37" width="9.875" customWidth="1"/>
    <col min="38" max="38" width="10.75" customWidth="1"/>
  </cols>
  <sheetData>
    <row r="1" spans="1:57" ht="19.5" thickBot="1" x14ac:dyDescent="0.35">
      <c r="A1" s="123">
        <v>44561</v>
      </c>
      <c r="B1" s="124"/>
      <c r="C1" s="125" t="s">
        <v>22</v>
      </c>
      <c r="D1" s="125"/>
      <c r="E1" s="125"/>
      <c r="F1" s="126"/>
      <c r="G1" s="127" t="s">
        <v>23</v>
      </c>
      <c r="H1" s="127"/>
      <c r="I1" s="127"/>
      <c r="J1" s="127"/>
      <c r="K1" s="127"/>
      <c r="L1" s="128"/>
      <c r="M1" s="129" t="s">
        <v>6</v>
      </c>
      <c r="N1" s="129"/>
      <c r="O1" s="129"/>
      <c r="P1" s="130" t="s">
        <v>19</v>
      </c>
      <c r="Q1" s="131" t="s">
        <v>11</v>
      </c>
      <c r="R1" s="132" t="s">
        <v>12</v>
      </c>
      <c r="S1" s="133" t="s">
        <v>0</v>
      </c>
      <c r="T1" s="134" t="s">
        <v>13</v>
      </c>
      <c r="U1" s="124"/>
      <c r="V1" s="124"/>
      <c r="W1" s="135"/>
      <c r="X1" s="24"/>
      <c r="Y1" s="136" t="s">
        <v>25</v>
      </c>
      <c r="Z1" s="137" t="s">
        <v>5</v>
      </c>
      <c r="AA1" s="138" t="s">
        <v>26</v>
      </c>
      <c r="AB1" s="138" t="s">
        <v>27</v>
      </c>
      <c r="AC1" s="139" t="s">
        <v>15</v>
      </c>
      <c r="AD1" s="139" t="s">
        <v>16</v>
      </c>
      <c r="AE1" s="139" t="s">
        <v>12</v>
      </c>
      <c r="AF1" s="138" t="s">
        <v>28</v>
      </c>
      <c r="AG1" s="138" t="s">
        <v>29</v>
      </c>
      <c r="AH1" s="140" t="s">
        <v>5</v>
      </c>
      <c r="AI1" s="141" t="s">
        <v>30</v>
      </c>
      <c r="AJ1" s="24"/>
      <c r="AK1" s="17"/>
      <c r="AL1" s="16"/>
      <c r="AM1" s="18"/>
      <c r="AN1" s="16"/>
    </row>
    <row r="2" spans="1:57" s="2" customFormat="1" ht="19.5" thickBot="1" x14ac:dyDescent="0.35">
      <c r="A2" s="142" t="s">
        <v>5</v>
      </c>
      <c r="B2" s="143" t="s">
        <v>20</v>
      </c>
      <c r="C2" s="144">
        <v>6</v>
      </c>
      <c r="D2" s="145">
        <v>12</v>
      </c>
      <c r="E2" s="144">
        <v>21</v>
      </c>
      <c r="F2" s="146" t="s">
        <v>0</v>
      </c>
      <c r="G2" s="147" t="s">
        <v>24</v>
      </c>
      <c r="H2" s="148" t="s">
        <v>1</v>
      </c>
      <c r="I2" s="147" t="s">
        <v>21</v>
      </c>
      <c r="J2" s="147" t="s">
        <v>81</v>
      </c>
      <c r="K2" s="149" t="s">
        <v>2</v>
      </c>
      <c r="L2" s="150" t="s">
        <v>8</v>
      </c>
      <c r="M2" s="151" t="s">
        <v>7</v>
      </c>
      <c r="N2" s="152" t="s">
        <v>4</v>
      </c>
      <c r="O2" s="153" t="s">
        <v>3</v>
      </c>
      <c r="P2" s="154">
        <v>250</v>
      </c>
      <c r="Q2" s="155"/>
      <c r="R2" s="156"/>
      <c r="S2" s="157"/>
      <c r="T2" s="158"/>
      <c r="U2" s="135"/>
      <c r="V2" s="159"/>
      <c r="W2" s="135"/>
      <c r="X2" s="24"/>
      <c r="Y2" s="160"/>
      <c r="Z2" s="161"/>
      <c r="AA2" s="24"/>
      <c r="AB2" s="162">
        <v>44561</v>
      </c>
      <c r="AC2" s="163"/>
      <c r="AD2" s="163"/>
      <c r="AE2" s="163"/>
      <c r="AF2" s="24"/>
      <c r="AG2" s="24"/>
      <c r="AH2" s="164"/>
      <c r="AI2" s="165"/>
      <c r="AJ2" s="24"/>
      <c r="AK2" s="22"/>
      <c r="AL2" s="16"/>
      <c r="AM2" s="18"/>
      <c r="AN2" s="16"/>
      <c r="AO2"/>
      <c r="AP2"/>
      <c r="AQ2" s="100"/>
      <c r="AR2" s="100"/>
      <c r="AS2" s="100"/>
      <c r="AT2" s="100"/>
      <c r="AU2" s="100"/>
      <c r="AV2" s="100"/>
      <c r="AW2" s="100"/>
      <c r="AX2"/>
      <c r="AZ2"/>
      <c r="BA2"/>
      <c r="BB2"/>
      <c r="BC2" s="20"/>
      <c r="BE2"/>
    </row>
    <row r="3" spans="1:57" ht="19.5" thickBot="1" x14ac:dyDescent="0.35">
      <c r="A3" s="166">
        <v>44561</v>
      </c>
      <c r="B3" s="167"/>
      <c r="C3" s="168"/>
      <c r="D3" s="168"/>
      <c r="E3" s="169"/>
      <c r="F3" s="170">
        <f>SUM(B3:E3)</f>
        <v>0</v>
      </c>
      <c r="G3" s="171">
        <f>F3</f>
        <v>0</v>
      </c>
      <c r="H3" s="168"/>
      <c r="I3" s="168"/>
      <c r="J3" s="169"/>
      <c r="K3" s="172">
        <f t="shared" ref="K3:K33" si="0">SUM(F3-H3-J3-I3)</f>
        <v>0</v>
      </c>
      <c r="L3" s="173">
        <f t="shared" ref="L3:L33" si="1">SUM(F3-H3-J3-I3)</f>
        <v>0</v>
      </c>
      <c r="M3" s="174"/>
      <c r="N3" s="175"/>
      <c r="O3" s="176">
        <f>SUM(L3-M3-N3+P2)</f>
        <v>250</v>
      </c>
      <c r="P3" s="177"/>
      <c r="Q3" s="178"/>
      <c r="R3" s="179"/>
      <c r="S3" s="180"/>
      <c r="T3" s="181"/>
      <c r="U3" s="124"/>
      <c r="V3" s="124"/>
      <c r="W3" s="135"/>
      <c r="X3" s="182">
        <v>1</v>
      </c>
      <c r="Y3" s="183"/>
      <c r="Z3" s="184"/>
      <c r="AA3" s="185"/>
      <c r="AB3" s="185"/>
      <c r="AC3" s="186"/>
      <c r="AD3" s="186"/>
      <c r="AE3" s="187">
        <f t="shared" ref="AE3:AE9" si="2">SUM(AC3:AD3)</f>
        <v>0</v>
      </c>
      <c r="AF3" s="185"/>
      <c r="AG3" s="185"/>
      <c r="AH3" s="188"/>
      <c r="AI3" s="189"/>
      <c r="AJ3" s="187">
        <v>0</v>
      </c>
      <c r="AK3" s="23"/>
      <c r="AL3" s="16"/>
      <c r="AM3" s="18"/>
      <c r="AN3" s="24"/>
      <c r="AQ3" s="100"/>
      <c r="AR3" s="59"/>
      <c r="AS3" s="59"/>
      <c r="AT3" s="59"/>
      <c r="AU3" s="59"/>
      <c r="AV3" s="59"/>
      <c r="AW3" s="100"/>
      <c r="AY3" s="2"/>
      <c r="AZ3" s="2"/>
      <c r="BA3" s="2"/>
      <c r="BB3" s="2"/>
      <c r="BC3" s="20"/>
      <c r="BD3" s="2"/>
    </row>
    <row r="4" spans="1:57" ht="16.5" thickBot="1" x14ac:dyDescent="0.3">
      <c r="A4" s="166">
        <v>44562</v>
      </c>
      <c r="B4" s="190"/>
      <c r="C4" s="179"/>
      <c r="D4" s="179"/>
      <c r="E4" s="175"/>
      <c r="F4" s="170">
        <f t="shared" ref="F4:F33" si="3">SUM(B4:E4)</f>
        <v>0</v>
      </c>
      <c r="G4" s="171">
        <f t="shared" ref="G4:G33" si="4">F4</f>
        <v>0</v>
      </c>
      <c r="H4" s="179"/>
      <c r="I4" s="191"/>
      <c r="J4" s="175"/>
      <c r="K4" s="192">
        <f t="shared" si="0"/>
        <v>0</v>
      </c>
      <c r="L4" s="193">
        <f t="shared" si="1"/>
        <v>0</v>
      </c>
      <c r="M4" s="174"/>
      <c r="N4" s="194"/>
      <c r="O4" s="195">
        <f>SUM(L4-M4-N4+O3+P4)</f>
        <v>250</v>
      </c>
      <c r="P4" s="196"/>
      <c r="Q4" s="197"/>
      <c r="R4" s="179"/>
      <c r="S4" s="198"/>
      <c r="T4" s="199"/>
      <c r="U4" s="124"/>
      <c r="V4" s="124"/>
      <c r="W4" s="135"/>
      <c r="X4" s="182">
        <v>2</v>
      </c>
      <c r="Y4" s="200"/>
      <c r="Z4" s="201"/>
      <c r="AA4" s="182"/>
      <c r="AB4" s="182"/>
      <c r="AC4" s="108"/>
      <c r="AD4" s="108"/>
      <c r="AE4" s="108">
        <f t="shared" si="2"/>
        <v>0</v>
      </c>
      <c r="AF4" s="182"/>
      <c r="AG4" s="182"/>
      <c r="AH4" s="202"/>
      <c r="AI4" s="203"/>
      <c r="AJ4" s="108">
        <f>AE4</f>
        <v>0</v>
      </c>
      <c r="AK4" s="25"/>
      <c r="AN4" s="28"/>
      <c r="AQ4" s="100"/>
      <c r="AR4" s="70"/>
      <c r="AS4" s="71"/>
      <c r="AT4" s="71"/>
      <c r="AU4" s="71"/>
      <c r="AV4" s="59"/>
      <c r="AW4" s="100"/>
      <c r="AY4" s="2"/>
      <c r="AZ4" s="2"/>
      <c r="BA4" s="12"/>
      <c r="BB4" s="2"/>
    </row>
    <row r="5" spans="1:57" ht="16.5" thickBot="1" x14ac:dyDescent="0.3">
      <c r="A5" s="166">
        <v>44563</v>
      </c>
      <c r="B5" s="190"/>
      <c r="C5" s="179"/>
      <c r="D5" s="179"/>
      <c r="E5" s="175"/>
      <c r="F5" s="170">
        <f t="shared" si="3"/>
        <v>0</v>
      </c>
      <c r="G5" s="171">
        <f t="shared" si="4"/>
        <v>0</v>
      </c>
      <c r="H5" s="179"/>
      <c r="I5" s="191"/>
      <c r="J5" s="175"/>
      <c r="K5" s="192">
        <f t="shared" si="0"/>
        <v>0</v>
      </c>
      <c r="L5" s="193">
        <f t="shared" si="1"/>
        <v>0</v>
      </c>
      <c r="M5" s="174"/>
      <c r="N5" s="194"/>
      <c r="O5" s="195">
        <f>SUM(L5-M5-N5+O4+P5)</f>
        <v>250</v>
      </c>
      <c r="P5" s="196"/>
      <c r="Q5" s="178"/>
      <c r="R5" s="179"/>
      <c r="S5" s="180"/>
      <c r="T5" s="181"/>
      <c r="U5" s="124"/>
      <c r="V5" s="124"/>
      <c r="W5" s="135"/>
      <c r="X5" s="182">
        <v>3</v>
      </c>
      <c r="Y5" s="204"/>
      <c r="Z5" s="205"/>
      <c r="AA5" s="206"/>
      <c r="AB5" s="206"/>
      <c r="AC5" s="186"/>
      <c r="AD5" s="186"/>
      <c r="AE5" s="187">
        <f t="shared" si="2"/>
        <v>0</v>
      </c>
      <c r="AF5" s="206"/>
      <c r="AG5" s="206"/>
      <c r="AH5" s="188"/>
      <c r="AI5" s="189"/>
      <c r="AJ5" s="187">
        <v>0</v>
      </c>
      <c r="AK5" s="25"/>
      <c r="AN5" s="32"/>
      <c r="AQ5" s="100"/>
      <c r="AR5" s="70"/>
      <c r="AS5" s="71"/>
      <c r="AT5" s="71"/>
      <c r="AU5" s="71"/>
      <c r="AV5" s="59"/>
      <c r="AW5" s="100"/>
      <c r="AY5" s="12"/>
      <c r="AZ5" s="2"/>
      <c r="BA5" s="12"/>
      <c r="BB5" s="2"/>
    </row>
    <row r="6" spans="1:57" ht="19.5" thickBot="1" x14ac:dyDescent="0.35">
      <c r="A6" s="166">
        <v>44564</v>
      </c>
      <c r="B6" s="190"/>
      <c r="C6" s="179"/>
      <c r="D6" s="179"/>
      <c r="E6" s="175"/>
      <c r="F6" s="170">
        <f t="shared" si="3"/>
        <v>0</v>
      </c>
      <c r="G6" s="171">
        <f t="shared" si="4"/>
        <v>0</v>
      </c>
      <c r="H6" s="179"/>
      <c r="I6" s="191"/>
      <c r="J6" s="175"/>
      <c r="K6" s="192">
        <f t="shared" si="0"/>
        <v>0</v>
      </c>
      <c r="L6" s="193">
        <f t="shared" si="1"/>
        <v>0</v>
      </c>
      <c r="M6" s="174"/>
      <c r="N6" s="194"/>
      <c r="O6" s="195">
        <f>SUM(L6-M6-N6+O5+P6)</f>
        <v>250</v>
      </c>
      <c r="P6" s="196"/>
      <c r="Q6" s="178"/>
      <c r="R6" s="179"/>
      <c r="S6" s="198"/>
      <c r="T6" s="199"/>
      <c r="U6" s="124"/>
      <c r="V6" s="124"/>
      <c r="W6" s="135"/>
      <c r="X6" s="182">
        <v>4</v>
      </c>
      <c r="Y6" s="183"/>
      <c r="Z6" s="184"/>
      <c r="AA6" s="185"/>
      <c r="AB6" s="207"/>
      <c r="AC6" s="186"/>
      <c r="AD6" s="186"/>
      <c r="AE6" s="187">
        <f t="shared" si="2"/>
        <v>0</v>
      </c>
      <c r="AF6" s="185"/>
      <c r="AG6" s="185"/>
      <c r="AH6" s="188"/>
      <c r="AI6" s="189"/>
      <c r="AJ6" s="187">
        <v>0</v>
      </c>
      <c r="AK6" s="17"/>
      <c r="AN6" s="34"/>
      <c r="AQ6" s="100"/>
      <c r="AR6" s="70"/>
      <c r="AS6" s="71"/>
      <c r="AT6" s="71"/>
      <c r="AU6" s="71"/>
      <c r="AV6" s="59"/>
      <c r="AW6" s="100"/>
      <c r="AY6" s="12"/>
      <c r="AZ6" s="2"/>
      <c r="BA6" s="12"/>
      <c r="BB6" s="2"/>
    </row>
    <row r="7" spans="1:57" ht="16.5" thickBot="1" x14ac:dyDescent="0.3">
      <c r="A7" s="166">
        <v>44565</v>
      </c>
      <c r="B7" s="190"/>
      <c r="C7" s="179"/>
      <c r="D7" s="179"/>
      <c r="E7" s="175"/>
      <c r="F7" s="170">
        <f t="shared" si="3"/>
        <v>0</v>
      </c>
      <c r="G7" s="171">
        <f t="shared" si="4"/>
        <v>0</v>
      </c>
      <c r="H7" s="179"/>
      <c r="I7" s="191"/>
      <c r="J7" s="175"/>
      <c r="K7" s="192">
        <f t="shared" si="0"/>
        <v>0</v>
      </c>
      <c r="L7" s="193">
        <f t="shared" si="1"/>
        <v>0</v>
      </c>
      <c r="M7" s="174"/>
      <c r="N7" s="194"/>
      <c r="O7" s="195">
        <f>SUM(L7-M7-N7+O6+P7)</f>
        <v>250</v>
      </c>
      <c r="P7" s="196"/>
      <c r="Q7" s="178"/>
      <c r="R7" s="179"/>
      <c r="S7" s="180"/>
      <c r="T7" s="199"/>
      <c r="U7" s="124"/>
      <c r="V7" s="124"/>
      <c r="W7" s="135"/>
      <c r="X7" s="182">
        <v>5</v>
      </c>
      <c r="Y7" s="200"/>
      <c r="Z7" s="201"/>
      <c r="AA7" s="182"/>
      <c r="AB7" s="182"/>
      <c r="AC7" s="108"/>
      <c r="AD7" s="108"/>
      <c r="AE7" s="108">
        <f t="shared" si="2"/>
        <v>0</v>
      </c>
      <c r="AF7" s="182"/>
      <c r="AG7" s="208"/>
      <c r="AH7" s="202"/>
      <c r="AI7" s="203"/>
      <c r="AJ7" s="108">
        <v>0</v>
      </c>
      <c r="AK7" s="23"/>
      <c r="AN7" s="24"/>
      <c r="AQ7" s="100"/>
      <c r="AR7" s="70"/>
      <c r="AS7" s="59"/>
      <c r="AT7" s="59"/>
      <c r="AU7" s="71"/>
      <c r="AV7" s="59"/>
      <c r="AW7" s="100"/>
      <c r="AY7" s="2"/>
      <c r="AZ7" s="2"/>
      <c r="BA7" s="12"/>
      <c r="BB7" s="2"/>
    </row>
    <row r="8" spans="1:57" ht="19.5" thickBot="1" x14ac:dyDescent="0.35">
      <c r="A8" s="166">
        <v>44566</v>
      </c>
      <c r="B8" s="190"/>
      <c r="C8" s="179"/>
      <c r="D8" s="179"/>
      <c r="E8" s="175"/>
      <c r="F8" s="170">
        <f t="shared" si="3"/>
        <v>0</v>
      </c>
      <c r="G8" s="171">
        <f t="shared" si="4"/>
        <v>0</v>
      </c>
      <c r="H8" s="179"/>
      <c r="I8" s="191"/>
      <c r="J8" s="175"/>
      <c r="K8" s="192">
        <f t="shared" si="0"/>
        <v>0</v>
      </c>
      <c r="L8" s="193">
        <f t="shared" si="1"/>
        <v>0</v>
      </c>
      <c r="M8" s="209"/>
      <c r="N8" s="194"/>
      <c r="O8" s="195">
        <f>SUM(L8-M8-N8+O7+P8)</f>
        <v>250</v>
      </c>
      <c r="P8" s="196"/>
      <c r="Q8" s="178"/>
      <c r="R8" s="179"/>
      <c r="S8" s="180"/>
      <c r="T8" s="199"/>
      <c r="U8" s="124"/>
      <c r="V8" s="124"/>
      <c r="W8" s="135"/>
      <c r="X8" s="182">
        <v>6</v>
      </c>
      <c r="Y8" s="183"/>
      <c r="Z8" s="184"/>
      <c r="AA8" s="185"/>
      <c r="AB8" s="185"/>
      <c r="AC8" s="186"/>
      <c r="AD8" s="186"/>
      <c r="AE8" s="187">
        <f t="shared" si="2"/>
        <v>0</v>
      </c>
      <c r="AF8" s="206"/>
      <c r="AG8" s="185"/>
      <c r="AH8" s="188"/>
      <c r="AI8" s="189"/>
      <c r="AJ8" s="187">
        <v>0</v>
      </c>
      <c r="AK8" s="19"/>
      <c r="AN8" s="34"/>
      <c r="AQ8" s="100"/>
      <c r="AR8" s="59"/>
      <c r="AS8" s="71"/>
      <c r="AT8" s="71"/>
      <c r="AU8" s="71"/>
      <c r="AV8" s="59"/>
      <c r="AW8" s="100"/>
      <c r="AY8" s="2"/>
      <c r="AZ8" s="2"/>
      <c r="BA8" s="2"/>
      <c r="BB8" s="2"/>
    </row>
    <row r="9" spans="1:57" ht="16.5" thickBot="1" x14ac:dyDescent="0.3">
      <c r="A9" s="166">
        <v>44567</v>
      </c>
      <c r="B9" s="190"/>
      <c r="C9" s="179"/>
      <c r="D9" s="179"/>
      <c r="E9" s="175"/>
      <c r="F9" s="170">
        <f t="shared" si="3"/>
        <v>0</v>
      </c>
      <c r="G9" s="171">
        <f t="shared" si="4"/>
        <v>0</v>
      </c>
      <c r="H9" s="179"/>
      <c r="I9" s="191"/>
      <c r="J9" s="175"/>
      <c r="K9" s="192">
        <f t="shared" si="0"/>
        <v>0</v>
      </c>
      <c r="L9" s="193">
        <f t="shared" si="1"/>
        <v>0</v>
      </c>
      <c r="M9" s="174"/>
      <c r="N9" s="194"/>
      <c r="O9" s="195">
        <f t="shared" ref="O9:O33" si="5">SUM(L9-M9-N9+O8)</f>
        <v>250</v>
      </c>
      <c r="P9" s="196"/>
      <c r="Q9" s="178"/>
      <c r="R9" s="179"/>
      <c r="S9" s="180"/>
      <c r="T9" s="199"/>
      <c r="U9" s="124"/>
      <c r="V9" s="124"/>
      <c r="W9" s="135"/>
      <c r="X9" s="182">
        <v>7</v>
      </c>
      <c r="Y9" s="200"/>
      <c r="Z9" s="201"/>
      <c r="AA9" s="182"/>
      <c r="AB9" s="182"/>
      <c r="AC9" s="210"/>
      <c r="AD9" s="210"/>
      <c r="AE9" s="108">
        <f t="shared" si="2"/>
        <v>0</v>
      </c>
      <c r="AF9" s="182"/>
      <c r="AG9" s="182"/>
      <c r="AH9" s="202"/>
      <c r="AI9" s="203"/>
      <c r="AJ9" s="108">
        <f>AE9</f>
        <v>0</v>
      </c>
      <c r="AK9" s="19"/>
      <c r="AN9" s="24"/>
      <c r="AQ9" s="100"/>
      <c r="AR9" s="70"/>
      <c r="AS9" s="59"/>
      <c r="AT9" s="59"/>
      <c r="AU9" s="59"/>
      <c r="AV9" s="59"/>
      <c r="AW9" s="100"/>
      <c r="AY9" s="2"/>
      <c r="AZ9" s="2"/>
      <c r="BA9" s="2"/>
      <c r="BB9" s="2"/>
    </row>
    <row r="10" spans="1:57" ht="19.5" thickBot="1" x14ac:dyDescent="0.35">
      <c r="A10" s="166">
        <v>44568</v>
      </c>
      <c r="B10" s="190"/>
      <c r="C10" s="179"/>
      <c r="D10" s="179"/>
      <c r="E10" s="175"/>
      <c r="F10" s="170">
        <f t="shared" si="3"/>
        <v>0</v>
      </c>
      <c r="G10" s="171">
        <f t="shared" si="4"/>
        <v>0</v>
      </c>
      <c r="H10" s="179"/>
      <c r="I10" s="191"/>
      <c r="J10" s="175"/>
      <c r="K10" s="192">
        <f t="shared" si="0"/>
        <v>0</v>
      </c>
      <c r="L10" s="193">
        <f t="shared" si="1"/>
        <v>0</v>
      </c>
      <c r="M10" s="174"/>
      <c r="N10" s="194"/>
      <c r="O10" s="195">
        <f t="shared" si="5"/>
        <v>250</v>
      </c>
      <c r="P10" s="196"/>
      <c r="Q10" s="178"/>
      <c r="R10" s="179"/>
      <c r="S10" s="180"/>
      <c r="T10" s="199"/>
      <c r="U10" s="124"/>
      <c r="V10" s="124"/>
      <c r="W10" s="135"/>
      <c r="X10" s="182">
        <v>8</v>
      </c>
      <c r="Y10" s="200"/>
      <c r="Z10" s="201"/>
      <c r="AA10" s="182"/>
      <c r="AB10" s="182"/>
      <c r="AC10" s="210"/>
      <c r="AD10" s="210"/>
      <c r="AE10" s="108">
        <f t="shared" ref="AE10:AE29" si="6">SUM(AC10:AD10)</f>
        <v>0</v>
      </c>
      <c r="AF10" s="182"/>
      <c r="AG10" s="182"/>
      <c r="AH10" s="202"/>
      <c r="AI10" s="203"/>
      <c r="AJ10" s="108">
        <f t="shared" ref="AJ10:AJ29" si="7">AE10</f>
        <v>0</v>
      </c>
      <c r="AK10" s="19"/>
      <c r="AN10" s="22"/>
      <c r="AQ10" s="100"/>
      <c r="AR10" s="59"/>
      <c r="AS10" s="59"/>
      <c r="AT10" s="59"/>
      <c r="AU10" s="59"/>
      <c r="AV10" s="59"/>
      <c r="AW10" s="100"/>
      <c r="AY10" s="2"/>
      <c r="AZ10" s="2"/>
      <c r="BA10" s="2"/>
      <c r="BB10" s="2"/>
    </row>
    <row r="11" spans="1:57" ht="19.5" thickBot="1" x14ac:dyDescent="0.35">
      <c r="A11" s="166">
        <v>44569</v>
      </c>
      <c r="B11" s="190"/>
      <c r="C11" s="179"/>
      <c r="D11" s="179"/>
      <c r="E11" s="175"/>
      <c r="F11" s="170">
        <f t="shared" si="3"/>
        <v>0</v>
      </c>
      <c r="G11" s="171">
        <f t="shared" si="4"/>
        <v>0</v>
      </c>
      <c r="H11" s="179"/>
      <c r="I11" s="191"/>
      <c r="J11" s="175"/>
      <c r="K11" s="192">
        <f t="shared" si="0"/>
        <v>0</v>
      </c>
      <c r="L11" s="193">
        <f t="shared" si="1"/>
        <v>0</v>
      </c>
      <c r="M11" s="174"/>
      <c r="N11" s="194"/>
      <c r="O11" s="195">
        <f t="shared" si="5"/>
        <v>250</v>
      </c>
      <c r="P11" s="196"/>
      <c r="Q11" s="211"/>
      <c r="R11" s="212"/>
      <c r="S11" s="198"/>
      <c r="T11" s="213"/>
      <c r="U11" s="124"/>
      <c r="V11" s="124"/>
      <c r="W11" s="135"/>
      <c r="X11" s="182">
        <v>9</v>
      </c>
      <c r="Y11" s="200"/>
      <c r="Z11" s="201"/>
      <c r="AA11" s="182"/>
      <c r="AB11" s="182"/>
      <c r="AC11" s="108"/>
      <c r="AD11" s="108"/>
      <c r="AE11" s="108">
        <f t="shared" si="6"/>
        <v>0</v>
      </c>
      <c r="AF11" s="182"/>
      <c r="AG11" s="182"/>
      <c r="AH11" s="202"/>
      <c r="AI11" s="203"/>
      <c r="AJ11" s="108">
        <f t="shared" si="7"/>
        <v>0</v>
      </c>
      <c r="AK11" s="19"/>
      <c r="AN11" s="22"/>
      <c r="AQ11" s="100"/>
      <c r="AR11" s="59"/>
      <c r="AS11" s="59"/>
      <c r="AT11" s="59"/>
      <c r="AU11" s="59"/>
      <c r="AV11" s="75"/>
      <c r="AW11" s="100"/>
      <c r="AY11" s="2"/>
      <c r="AZ11" s="2"/>
      <c r="BA11" s="2"/>
      <c r="BB11" s="2"/>
    </row>
    <row r="12" spans="1:57" ht="19.5" thickBot="1" x14ac:dyDescent="0.35">
      <c r="A12" s="166">
        <v>44570</v>
      </c>
      <c r="B12" s="190"/>
      <c r="C12" s="179"/>
      <c r="D12" s="179"/>
      <c r="E12" s="175"/>
      <c r="F12" s="170">
        <f t="shared" si="3"/>
        <v>0</v>
      </c>
      <c r="G12" s="171">
        <f t="shared" si="4"/>
        <v>0</v>
      </c>
      <c r="H12" s="179"/>
      <c r="I12" s="191"/>
      <c r="J12" s="175"/>
      <c r="K12" s="192">
        <f t="shared" si="0"/>
        <v>0</v>
      </c>
      <c r="L12" s="193">
        <f t="shared" si="1"/>
        <v>0</v>
      </c>
      <c r="M12" s="214"/>
      <c r="N12" s="194"/>
      <c r="O12" s="195">
        <f t="shared" si="5"/>
        <v>250</v>
      </c>
      <c r="P12" s="196"/>
      <c r="Q12" s="211"/>
      <c r="R12" s="212"/>
      <c r="S12" s="198"/>
      <c r="T12" s="213"/>
      <c r="U12" s="124"/>
      <c r="V12" s="124"/>
      <c r="W12" s="135"/>
      <c r="X12" s="182">
        <v>10</v>
      </c>
      <c r="Y12" s="200"/>
      <c r="Z12" s="201"/>
      <c r="AA12" s="182"/>
      <c r="AB12" s="182"/>
      <c r="AC12" s="108"/>
      <c r="AD12" s="108"/>
      <c r="AE12" s="108">
        <f t="shared" si="6"/>
        <v>0</v>
      </c>
      <c r="AF12" s="182"/>
      <c r="AG12" s="182"/>
      <c r="AH12" s="202"/>
      <c r="AI12" s="203"/>
      <c r="AJ12" s="108">
        <f t="shared" si="7"/>
        <v>0</v>
      </c>
      <c r="AK12" s="22"/>
      <c r="AN12" s="22"/>
      <c r="AQ12" s="100"/>
      <c r="AR12" s="75"/>
      <c r="AS12" s="59"/>
      <c r="AT12" s="59"/>
      <c r="AU12" s="59"/>
      <c r="AV12" s="75"/>
      <c r="AW12" s="100"/>
      <c r="AY12" s="2"/>
      <c r="AZ12" s="2"/>
      <c r="BA12" s="2"/>
      <c r="BB12" s="2"/>
    </row>
    <row r="13" spans="1:57" ht="19.5" thickBot="1" x14ac:dyDescent="0.35">
      <c r="A13" s="166">
        <v>44571</v>
      </c>
      <c r="B13" s="190"/>
      <c r="C13" s="179"/>
      <c r="D13" s="179"/>
      <c r="E13" s="175"/>
      <c r="F13" s="170">
        <f t="shared" si="3"/>
        <v>0</v>
      </c>
      <c r="G13" s="171">
        <f t="shared" si="4"/>
        <v>0</v>
      </c>
      <c r="H13" s="179"/>
      <c r="I13" s="191"/>
      <c r="J13" s="175"/>
      <c r="K13" s="192">
        <f t="shared" si="0"/>
        <v>0</v>
      </c>
      <c r="L13" s="193">
        <f t="shared" si="1"/>
        <v>0</v>
      </c>
      <c r="M13" s="174"/>
      <c r="N13" s="194"/>
      <c r="O13" s="195">
        <f t="shared" si="5"/>
        <v>250</v>
      </c>
      <c r="P13" s="196"/>
      <c r="Q13" s="215"/>
      <c r="R13" s="212"/>
      <c r="S13" s="198"/>
      <c r="T13" s="199"/>
      <c r="U13" s="124"/>
      <c r="V13" s="124"/>
      <c r="W13" s="135"/>
      <c r="X13" s="182">
        <v>11</v>
      </c>
      <c r="Y13" s="200"/>
      <c r="Z13" s="201"/>
      <c r="AA13" s="182"/>
      <c r="AB13" s="182"/>
      <c r="AC13" s="108"/>
      <c r="AD13" s="108"/>
      <c r="AE13" s="108">
        <f t="shared" si="6"/>
        <v>0</v>
      </c>
      <c r="AF13" s="182"/>
      <c r="AG13" s="216"/>
      <c r="AH13" s="202"/>
      <c r="AI13" s="203"/>
      <c r="AJ13" s="108">
        <f t="shared" si="7"/>
        <v>0</v>
      </c>
      <c r="AK13" s="17"/>
      <c r="AN13" s="16"/>
      <c r="AQ13" s="100"/>
      <c r="AR13" s="75"/>
      <c r="AS13" s="59"/>
      <c r="AT13" s="59"/>
      <c r="AU13" s="59"/>
      <c r="AV13" s="75"/>
      <c r="AW13" s="100"/>
    </row>
    <row r="14" spans="1:57" ht="19.5" thickBot="1" x14ac:dyDescent="0.35">
      <c r="A14" s="166">
        <v>44572</v>
      </c>
      <c r="B14" s="190"/>
      <c r="C14" s="179"/>
      <c r="D14" s="179"/>
      <c r="E14" s="175"/>
      <c r="F14" s="170">
        <f t="shared" si="3"/>
        <v>0</v>
      </c>
      <c r="G14" s="171">
        <f t="shared" si="4"/>
        <v>0</v>
      </c>
      <c r="H14" s="179"/>
      <c r="I14" s="191"/>
      <c r="J14" s="175"/>
      <c r="K14" s="192">
        <f t="shared" si="0"/>
        <v>0</v>
      </c>
      <c r="L14" s="193">
        <f t="shared" si="1"/>
        <v>0</v>
      </c>
      <c r="M14" s="174"/>
      <c r="N14" s="194"/>
      <c r="O14" s="195">
        <f t="shared" si="5"/>
        <v>250</v>
      </c>
      <c r="P14" s="196"/>
      <c r="Q14" s="215"/>
      <c r="R14" s="212"/>
      <c r="S14" s="198"/>
      <c r="T14" s="199"/>
      <c r="U14" s="124"/>
      <c r="V14" s="124"/>
      <c r="W14" s="135"/>
      <c r="X14" s="182">
        <v>12</v>
      </c>
      <c r="Y14" s="217"/>
      <c r="Z14" s="201"/>
      <c r="AA14" s="182"/>
      <c r="AB14" s="182"/>
      <c r="AC14" s="210"/>
      <c r="AD14" s="210"/>
      <c r="AE14" s="108">
        <f t="shared" si="6"/>
        <v>0</v>
      </c>
      <c r="AF14" s="182"/>
      <c r="AG14" s="216"/>
      <c r="AH14" s="202"/>
      <c r="AI14" s="203"/>
      <c r="AJ14" s="108">
        <f t="shared" si="7"/>
        <v>0</v>
      </c>
      <c r="AK14" s="17"/>
      <c r="AN14" s="16"/>
      <c r="AO14" s="4"/>
      <c r="AQ14" s="100"/>
      <c r="AR14" s="59"/>
      <c r="AS14" s="59"/>
      <c r="AT14" s="59"/>
      <c r="AU14" s="59"/>
      <c r="AV14" s="75"/>
      <c r="AW14" s="100"/>
    </row>
    <row r="15" spans="1:57" ht="19.5" thickBot="1" x14ac:dyDescent="0.35">
      <c r="A15" s="166">
        <v>44573</v>
      </c>
      <c r="B15" s="190"/>
      <c r="C15" s="179"/>
      <c r="D15" s="179"/>
      <c r="E15" s="175"/>
      <c r="F15" s="170">
        <f t="shared" si="3"/>
        <v>0</v>
      </c>
      <c r="G15" s="171">
        <f t="shared" si="4"/>
        <v>0</v>
      </c>
      <c r="H15" s="179"/>
      <c r="I15" s="191"/>
      <c r="J15" s="175"/>
      <c r="K15" s="192">
        <f t="shared" si="0"/>
        <v>0</v>
      </c>
      <c r="L15" s="193">
        <f t="shared" si="1"/>
        <v>0</v>
      </c>
      <c r="M15" s="174"/>
      <c r="N15" s="194"/>
      <c r="O15" s="195">
        <f t="shared" si="5"/>
        <v>250</v>
      </c>
      <c r="P15" s="196"/>
      <c r="Q15" s="218"/>
      <c r="R15" s="179"/>
      <c r="S15" s="180"/>
      <c r="T15" s="199"/>
      <c r="U15" s="124"/>
      <c r="V15" s="124"/>
      <c r="W15" s="135"/>
      <c r="X15" s="182">
        <v>13</v>
      </c>
      <c r="Y15" s="200"/>
      <c r="Z15" s="201"/>
      <c r="AA15" s="182"/>
      <c r="AB15" s="182"/>
      <c r="AC15" s="210"/>
      <c r="AD15" s="210"/>
      <c r="AE15" s="108">
        <f t="shared" si="6"/>
        <v>0</v>
      </c>
      <c r="AF15" s="182"/>
      <c r="AG15" s="182"/>
      <c r="AH15" s="202"/>
      <c r="AI15" s="203"/>
      <c r="AJ15" s="108">
        <f t="shared" si="7"/>
        <v>0</v>
      </c>
      <c r="AK15" s="17"/>
      <c r="AN15" s="16"/>
      <c r="AQ15" s="100"/>
      <c r="AR15" s="59"/>
      <c r="AS15" s="59"/>
      <c r="AT15" s="59"/>
      <c r="AU15" s="59"/>
      <c r="AV15" s="75"/>
      <c r="AW15" s="100"/>
    </row>
    <row r="16" spans="1:57" ht="19.5" thickBot="1" x14ac:dyDescent="0.35">
      <c r="A16" s="166">
        <v>44574</v>
      </c>
      <c r="B16" s="190"/>
      <c r="C16" s="179"/>
      <c r="D16" s="179"/>
      <c r="E16" s="175"/>
      <c r="F16" s="170">
        <f t="shared" si="3"/>
        <v>0</v>
      </c>
      <c r="G16" s="171">
        <f t="shared" si="4"/>
        <v>0</v>
      </c>
      <c r="H16" s="179"/>
      <c r="I16" s="191"/>
      <c r="J16" s="175"/>
      <c r="K16" s="192">
        <f t="shared" si="0"/>
        <v>0</v>
      </c>
      <c r="L16" s="193">
        <f t="shared" si="1"/>
        <v>0</v>
      </c>
      <c r="M16" s="209"/>
      <c r="N16" s="194"/>
      <c r="O16" s="195">
        <f t="shared" si="5"/>
        <v>250</v>
      </c>
      <c r="P16" s="196"/>
      <c r="Q16" s="219"/>
      <c r="R16" s="179"/>
      <c r="S16" s="180"/>
      <c r="T16" s="199"/>
      <c r="U16" s="124"/>
      <c r="V16" s="124"/>
      <c r="W16" s="135"/>
      <c r="X16" s="182">
        <v>14</v>
      </c>
      <c r="Y16" s="200"/>
      <c r="Z16" s="201"/>
      <c r="AA16" s="182"/>
      <c r="AB16" s="182"/>
      <c r="AC16" s="210"/>
      <c r="AD16" s="210"/>
      <c r="AE16" s="108">
        <f t="shared" si="6"/>
        <v>0</v>
      </c>
      <c r="AF16" s="182"/>
      <c r="AG16" s="182"/>
      <c r="AH16" s="202"/>
      <c r="AI16" s="203"/>
      <c r="AJ16" s="108">
        <f t="shared" si="7"/>
        <v>0</v>
      </c>
      <c r="AK16" s="17"/>
      <c r="AN16" s="16"/>
      <c r="AQ16" s="100"/>
      <c r="AR16" s="59"/>
      <c r="AS16" s="59"/>
      <c r="AT16" s="59"/>
      <c r="AU16" s="59"/>
      <c r="AV16" s="75"/>
      <c r="AW16" s="100"/>
    </row>
    <row r="17" spans="1:54" ht="19.5" thickBot="1" x14ac:dyDescent="0.35">
      <c r="A17" s="166">
        <v>44575</v>
      </c>
      <c r="B17" s="190"/>
      <c r="C17" s="179"/>
      <c r="D17" s="179"/>
      <c r="E17" s="175"/>
      <c r="F17" s="170">
        <f t="shared" si="3"/>
        <v>0</v>
      </c>
      <c r="G17" s="171">
        <f t="shared" si="4"/>
        <v>0</v>
      </c>
      <c r="H17" s="179"/>
      <c r="I17" s="191"/>
      <c r="J17" s="175"/>
      <c r="K17" s="192">
        <f t="shared" si="0"/>
        <v>0</v>
      </c>
      <c r="L17" s="193">
        <f t="shared" si="1"/>
        <v>0</v>
      </c>
      <c r="M17" s="209"/>
      <c r="N17" s="194"/>
      <c r="O17" s="195">
        <f>SUM(L17-M17-N17+O16+P17)</f>
        <v>250</v>
      </c>
      <c r="P17" s="196"/>
      <c r="Q17" s="218"/>
      <c r="R17" s="179"/>
      <c r="S17" s="180"/>
      <c r="T17" s="199"/>
      <c r="U17" s="124"/>
      <c r="V17" s="124"/>
      <c r="W17" s="135"/>
      <c r="X17" s="182">
        <v>15</v>
      </c>
      <c r="Y17" s="200"/>
      <c r="Z17" s="201"/>
      <c r="AA17" s="182"/>
      <c r="AB17" s="182"/>
      <c r="AC17" s="210"/>
      <c r="AD17" s="210"/>
      <c r="AE17" s="108">
        <f t="shared" si="6"/>
        <v>0</v>
      </c>
      <c r="AF17" s="182"/>
      <c r="AG17" s="216"/>
      <c r="AH17" s="202"/>
      <c r="AI17" s="203"/>
      <c r="AJ17" s="108">
        <f t="shared" si="7"/>
        <v>0</v>
      </c>
      <c r="AK17" s="17"/>
      <c r="AN17" s="16"/>
      <c r="AQ17" s="100"/>
      <c r="AR17" s="59"/>
      <c r="AS17" s="59"/>
      <c r="AT17" s="59"/>
      <c r="AU17" s="59"/>
      <c r="AV17" s="75"/>
      <c r="AW17" s="100"/>
    </row>
    <row r="18" spans="1:54" ht="19.5" thickBot="1" x14ac:dyDescent="0.35">
      <c r="A18" s="166">
        <v>44576</v>
      </c>
      <c r="B18" s="190"/>
      <c r="C18" s="179"/>
      <c r="D18" s="179"/>
      <c r="E18" s="175"/>
      <c r="F18" s="170">
        <f t="shared" si="3"/>
        <v>0</v>
      </c>
      <c r="G18" s="171">
        <f t="shared" si="4"/>
        <v>0</v>
      </c>
      <c r="H18" s="179"/>
      <c r="I18" s="191"/>
      <c r="J18" s="175"/>
      <c r="K18" s="192">
        <f t="shared" si="0"/>
        <v>0</v>
      </c>
      <c r="L18" s="193">
        <f t="shared" si="1"/>
        <v>0</v>
      </c>
      <c r="M18" s="174"/>
      <c r="N18" s="220"/>
      <c r="O18" s="195">
        <f>SUM(L18-M18-N18+O17+P18)</f>
        <v>250</v>
      </c>
      <c r="P18" s="196"/>
      <c r="Q18" s="218"/>
      <c r="R18" s="179"/>
      <c r="S18" s="180"/>
      <c r="T18" s="199"/>
      <c r="U18" s="124"/>
      <c r="V18" s="124"/>
      <c r="W18" s="135"/>
      <c r="X18" s="182">
        <v>16</v>
      </c>
      <c r="Y18" s="200"/>
      <c r="Z18" s="201"/>
      <c r="AA18" s="182"/>
      <c r="AB18" s="182"/>
      <c r="AC18" s="108"/>
      <c r="AD18" s="108"/>
      <c r="AE18" s="108">
        <f t="shared" si="6"/>
        <v>0</v>
      </c>
      <c r="AF18" s="182"/>
      <c r="AG18" s="182"/>
      <c r="AH18" s="202"/>
      <c r="AI18" s="203"/>
      <c r="AJ18" s="108">
        <f t="shared" si="7"/>
        <v>0</v>
      </c>
      <c r="AK18" s="17"/>
      <c r="AN18" s="16"/>
      <c r="AQ18" s="100"/>
      <c r="AR18" s="59"/>
      <c r="AS18" s="59"/>
      <c r="AT18" s="59"/>
      <c r="AU18" s="59"/>
      <c r="AV18" s="59"/>
      <c r="AW18" s="100"/>
    </row>
    <row r="19" spans="1:54" ht="19.5" thickBot="1" x14ac:dyDescent="0.35">
      <c r="A19" s="166">
        <v>44577</v>
      </c>
      <c r="B19" s="190"/>
      <c r="C19" s="179"/>
      <c r="D19" s="179"/>
      <c r="E19" s="175"/>
      <c r="F19" s="170">
        <f t="shared" si="3"/>
        <v>0</v>
      </c>
      <c r="G19" s="171">
        <f t="shared" si="4"/>
        <v>0</v>
      </c>
      <c r="H19" s="179"/>
      <c r="I19" s="191"/>
      <c r="J19" s="175"/>
      <c r="K19" s="192">
        <f t="shared" si="0"/>
        <v>0</v>
      </c>
      <c r="L19" s="193">
        <f t="shared" si="1"/>
        <v>0</v>
      </c>
      <c r="M19" s="174"/>
      <c r="N19" s="194"/>
      <c r="O19" s="195">
        <f>SUM(L19-M19-N19+O18+P19)</f>
        <v>250</v>
      </c>
      <c r="P19" s="196"/>
      <c r="Q19" s="218"/>
      <c r="R19" s="179"/>
      <c r="S19" s="180"/>
      <c r="T19" s="199"/>
      <c r="U19" s="124"/>
      <c r="V19" s="124"/>
      <c r="W19" s="135"/>
      <c r="X19" s="182">
        <v>17</v>
      </c>
      <c r="Y19" s="200"/>
      <c r="Z19" s="201"/>
      <c r="AA19" s="182"/>
      <c r="AB19" s="182"/>
      <c r="AC19" s="210"/>
      <c r="AD19" s="210"/>
      <c r="AE19" s="108">
        <f t="shared" si="6"/>
        <v>0</v>
      </c>
      <c r="AF19" s="208"/>
      <c r="AG19" s="182"/>
      <c r="AH19" s="202"/>
      <c r="AI19" s="203"/>
      <c r="AJ19" s="108">
        <f t="shared" si="7"/>
        <v>0</v>
      </c>
      <c r="AK19" s="17"/>
      <c r="AN19" s="16"/>
      <c r="AQ19" s="100"/>
      <c r="AR19" s="59"/>
      <c r="AS19" s="59"/>
      <c r="AT19" s="59"/>
      <c r="AU19" s="59"/>
      <c r="AV19" s="59"/>
      <c r="AW19" s="100"/>
    </row>
    <row r="20" spans="1:54" ht="19.5" thickBot="1" x14ac:dyDescent="0.35">
      <c r="A20" s="166">
        <v>44578</v>
      </c>
      <c r="B20" s="190"/>
      <c r="C20" s="179"/>
      <c r="D20" s="179"/>
      <c r="E20" s="175"/>
      <c r="F20" s="170">
        <f t="shared" si="3"/>
        <v>0</v>
      </c>
      <c r="G20" s="171">
        <f t="shared" si="4"/>
        <v>0</v>
      </c>
      <c r="H20" s="179"/>
      <c r="I20" s="191"/>
      <c r="J20" s="175"/>
      <c r="K20" s="192">
        <f t="shared" si="0"/>
        <v>0</v>
      </c>
      <c r="L20" s="193">
        <f t="shared" si="1"/>
        <v>0</v>
      </c>
      <c r="M20" s="174"/>
      <c r="N20" s="194"/>
      <c r="O20" s="195">
        <f>SUM(L20-M20-N20+O19+P20)</f>
        <v>250</v>
      </c>
      <c r="P20" s="196"/>
      <c r="Q20" s="218"/>
      <c r="R20" s="179"/>
      <c r="S20" s="180"/>
      <c r="T20" s="199"/>
      <c r="U20" s="124"/>
      <c r="V20" s="124"/>
      <c r="W20" s="135"/>
      <c r="X20" s="182">
        <v>18</v>
      </c>
      <c r="Y20" s="200"/>
      <c r="Z20" s="201"/>
      <c r="AA20" s="182"/>
      <c r="AB20" s="182"/>
      <c r="AC20" s="210"/>
      <c r="AD20" s="210"/>
      <c r="AE20" s="108">
        <f t="shared" si="6"/>
        <v>0</v>
      </c>
      <c r="AF20" s="182"/>
      <c r="AG20" s="216"/>
      <c r="AH20" s="202"/>
      <c r="AI20" s="203"/>
      <c r="AJ20" s="108">
        <f t="shared" si="7"/>
        <v>0</v>
      </c>
      <c r="AK20" s="17"/>
      <c r="AN20" s="22"/>
      <c r="AQ20" s="100"/>
      <c r="AR20" s="59"/>
      <c r="AS20" s="59"/>
      <c r="AT20" s="59"/>
      <c r="AU20" s="59"/>
      <c r="AV20" s="59"/>
      <c r="AW20" s="100"/>
    </row>
    <row r="21" spans="1:54" ht="19.5" thickBot="1" x14ac:dyDescent="0.35">
      <c r="A21" s="166">
        <v>44579</v>
      </c>
      <c r="B21" s="190"/>
      <c r="C21" s="179"/>
      <c r="D21" s="179"/>
      <c r="E21" s="175"/>
      <c r="F21" s="170">
        <f t="shared" si="3"/>
        <v>0</v>
      </c>
      <c r="G21" s="171">
        <f t="shared" si="4"/>
        <v>0</v>
      </c>
      <c r="H21" s="179"/>
      <c r="I21" s="191"/>
      <c r="J21" s="175"/>
      <c r="K21" s="192">
        <f t="shared" si="0"/>
        <v>0</v>
      </c>
      <c r="L21" s="193">
        <f t="shared" si="1"/>
        <v>0</v>
      </c>
      <c r="M21" s="174"/>
      <c r="N21" s="194"/>
      <c r="O21" s="195">
        <f t="shared" si="5"/>
        <v>250</v>
      </c>
      <c r="P21" s="196"/>
      <c r="Q21" s="218"/>
      <c r="R21" s="179"/>
      <c r="S21" s="180"/>
      <c r="T21" s="199"/>
      <c r="U21" s="124"/>
      <c r="V21" s="124"/>
      <c r="W21" s="135"/>
      <c r="X21" s="182">
        <v>19</v>
      </c>
      <c r="Y21" s="200"/>
      <c r="Z21" s="201"/>
      <c r="AA21" s="182"/>
      <c r="AB21" s="221"/>
      <c r="AC21" s="108"/>
      <c r="AD21" s="108"/>
      <c r="AE21" s="108">
        <f t="shared" si="6"/>
        <v>0</v>
      </c>
      <c r="AF21" s="182"/>
      <c r="AG21" s="182"/>
      <c r="AH21" s="202"/>
      <c r="AI21" s="203"/>
      <c r="AJ21" s="108">
        <f t="shared" si="7"/>
        <v>0</v>
      </c>
      <c r="AK21" s="17"/>
      <c r="AN21" s="22"/>
      <c r="AQ21" s="100"/>
      <c r="AR21" s="59"/>
      <c r="AS21" s="59"/>
      <c r="AT21" s="59"/>
      <c r="AU21" s="59"/>
      <c r="AV21" s="59"/>
      <c r="AW21" s="100"/>
    </row>
    <row r="22" spans="1:54" ht="19.5" thickBot="1" x14ac:dyDescent="0.35">
      <c r="A22" s="166">
        <v>44580</v>
      </c>
      <c r="B22" s="190"/>
      <c r="C22" s="179"/>
      <c r="D22" s="179"/>
      <c r="E22" s="175"/>
      <c r="F22" s="170">
        <f t="shared" si="3"/>
        <v>0</v>
      </c>
      <c r="G22" s="171">
        <f t="shared" si="4"/>
        <v>0</v>
      </c>
      <c r="H22" s="179"/>
      <c r="I22" s="191"/>
      <c r="J22" s="175"/>
      <c r="K22" s="192">
        <f t="shared" si="0"/>
        <v>0</v>
      </c>
      <c r="L22" s="193">
        <f t="shared" si="1"/>
        <v>0</v>
      </c>
      <c r="M22" s="174"/>
      <c r="N22" s="194"/>
      <c r="O22" s="195">
        <f t="shared" si="5"/>
        <v>250</v>
      </c>
      <c r="P22" s="196"/>
      <c r="Q22" s="218"/>
      <c r="R22" s="179"/>
      <c r="S22" s="180"/>
      <c r="T22" s="199"/>
      <c r="U22" s="124"/>
      <c r="V22" s="124"/>
      <c r="W22" s="135"/>
      <c r="X22" s="182">
        <v>20</v>
      </c>
      <c r="Y22" s="200"/>
      <c r="Z22" s="201"/>
      <c r="AA22" s="182"/>
      <c r="AB22" s="221"/>
      <c r="AC22" s="210"/>
      <c r="AD22" s="210"/>
      <c r="AE22" s="108">
        <f t="shared" si="6"/>
        <v>0</v>
      </c>
      <c r="AF22" s="182"/>
      <c r="AG22" s="182"/>
      <c r="AH22" s="202"/>
      <c r="AI22" s="203"/>
      <c r="AJ22" s="108">
        <f t="shared" si="7"/>
        <v>0</v>
      </c>
      <c r="AK22" s="17"/>
      <c r="AN22" s="16"/>
      <c r="AQ22" s="100"/>
      <c r="AR22" s="59"/>
      <c r="AS22" s="71"/>
      <c r="AT22" s="71"/>
      <c r="AU22" s="71"/>
      <c r="AV22" s="59"/>
      <c r="AW22" s="100"/>
    </row>
    <row r="23" spans="1:54" ht="19.5" thickBot="1" x14ac:dyDescent="0.35">
      <c r="A23" s="166">
        <v>44581</v>
      </c>
      <c r="B23" s="190"/>
      <c r="C23" s="179"/>
      <c r="D23" s="179"/>
      <c r="E23" s="175"/>
      <c r="F23" s="170">
        <f t="shared" si="3"/>
        <v>0</v>
      </c>
      <c r="G23" s="171">
        <f t="shared" si="4"/>
        <v>0</v>
      </c>
      <c r="H23" s="179"/>
      <c r="I23" s="191"/>
      <c r="J23" s="175"/>
      <c r="K23" s="192">
        <f t="shared" si="0"/>
        <v>0</v>
      </c>
      <c r="L23" s="193">
        <f t="shared" si="1"/>
        <v>0</v>
      </c>
      <c r="M23" s="174"/>
      <c r="N23" s="194"/>
      <c r="O23" s="195">
        <f t="shared" si="5"/>
        <v>250</v>
      </c>
      <c r="P23" s="196"/>
      <c r="Q23" s="211"/>
      <c r="R23" s="212"/>
      <c r="S23" s="180"/>
      <c r="T23" s="222"/>
      <c r="U23" s="124"/>
      <c r="V23" s="124"/>
      <c r="W23" s="135"/>
      <c r="X23" s="182">
        <v>21</v>
      </c>
      <c r="Y23" s="223"/>
      <c r="Z23" s="224"/>
      <c r="AA23" s="208"/>
      <c r="AB23" s="225"/>
      <c r="AC23" s="108"/>
      <c r="AD23" s="108"/>
      <c r="AE23" s="108">
        <f t="shared" si="6"/>
        <v>0</v>
      </c>
      <c r="AF23" s="208"/>
      <c r="AG23" s="226"/>
      <c r="AH23" s="202"/>
      <c r="AI23" s="203"/>
      <c r="AJ23" s="108">
        <f t="shared" si="7"/>
        <v>0</v>
      </c>
      <c r="AK23" s="17"/>
      <c r="AN23" s="16"/>
      <c r="AQ23" s="100"/>
      <c r="AR23" s="100"/>
      <c r="AS23" s="100"/>
      <c r="AT23" s="100"/>
      <c r="AU23" s="100"/>
      <c r="AV23" s="100"/>
      <c r="AW23" s="100"/>
    </row>
    <row r="24" spans="1:54" ht="19.5" thickBot="1" x14ac:dyDescent="0.35">
      <c r="A24" s="166">
        <v>44582</v>
      </c>
      <c r="B24" s="190"/>
      <c r="C24" s="179"/>
      <c r="D24" s="179"/>
      <c r="E24" s="175"/>
      <c r="F24" s="170">
        <f t="shared" si="3"/>
        <v>0</v>
      </c>
      <c r="G24" s="171">
        <f t="shared" si="4"/>
        <v>0</v>
      </c>
      <c r="H24" s="179"/>
      <c r="I24" s="191"/>
      <c r="J24" s="175"/>
      <c r="K24" s="192">
        <f t="shared" si="0"/>
        <v>0</v>
      </c>
      <c r="L24" s="193">
        <f t="shared" si="1"/>
        <v>0</v>
      </c>
      <c r="M24" s="209"/>
      <c r="N24" s="194"/>
      <c r="O24" s="195">
        <f>SUM(L24-M24-N24+O23+P24)</f>
        <v>250</v>
      </c>
      <c r="P24" s="196"/>
      <c r="Q24" s="211"/>
      <c r="R24" s="212"/>
      <c r="S24" s="180"/>
      <c r="T24" s="222"/>
      <c r="U24" s="124"/>
      <c r="V24" s="124"/>
      <c r="W24" s="135"/>
      <c r="X24" s="182">
        <v>22</v>
      </c>
      <c r="Y24" s="200"/>
      <c r="Z24" s="201"/>
      <c r="AA24" s="182"/>
      <c r="AB24" s="227"/>
      <c r="AC24" s="210"/>
      <c r="AD24" s="210"/>
      <c r="AE24" s="108">
        <f t="shared" si="6"/>
        <v>0</v>
      </c>
      <c r="AF24" s="182"/>
      <c r="AG24" s="226"/>
      <c r="AH24" s="202"/>
      <c r="AI24" s="203"/>
      <c r="AJ24" s="108">
        <f t="shared" si="7"/>
        <v>0</v>
      </c>
      <c r="AK24" s="17"/>
      <c r="AN24" s="16"/>
    </row>
    <row r="25" spans="1:54" ht="19.5" thickBot="1" x14ac:dyDescent="0.35">
      <c r="A25" s="166">
        <v>44583</v>
      </c>
      <c r="B25" s="190"/>
      <c r="C25" s="179"/>
      <c r="D25" s="179"/>
      <c r="E25" s="175"/>
      <c r="F25" s="170">
        <f t="shared" si="3"/>
        <v>0</v>
      </c>
      <c r="G25" s="171">
        <f t="shared" si="4"/>
        <v>0</v>
      </c>
      <c r="H25" s="179"/>
      <c r="I25" s="191"/>
      <c r="J25" s="175"/>
      <c r="K25" s="192">
        <f t="shared" si="0"/>
        <v>0</v>
      </c>
      <c r="L25" s="193">
        <f t="shared" si="1"/>
        <v>0</v>
      </c>
      <c r="M25" s="174"/>
      <c r="N25" s="194"/>
      <c r="O25" s="195">
        <f t="shared" si="5"/>
        <v>250</v>
      </c>
      <c r="P25" s="196"/>
      <c r="Q25" s="178"/>
      <c r="R25" s="179"/>
      <c r="S25" s="180"/>
      <c r="T25" s="181"/>
      <c r="U25" s="124"/>
      <c r="V25" s="124"/>
      <c r="W25" s="135"/>
      <c r="X25" s="182">
        <v>26</v>
      </c>
      <c r="Y25" s="223"/>
      <c r="Z25" s="224"/>
      <c r="AA25" s="208"/>
      <c r="AB25" s="228"/>
      <c r="AC25" s="210"/>
      <c r="AD25" s="210"/>
      <c r="AE25" s="108">
        <f t="shared" si="6"/>
        <v>0</v>
      </c>
      <c r="AF25" s="208"/>
      <c r="AG25" s="226"/>
      <c r="AH25" s="202"/>
      <c r="AI25" s="203"/>
      <c r="AJ25" s="108">
        <f t="shared" si="7"/>
        <v>0</v>
      </c>
      <c r="AK25" s="17"/>
      <c r="AN25" s="16"/>
      <c r="AW25" s="2"/>
    </row>
    <row r="26" spans="1:54" ht="19.5" thickBot="1" x14ac:dyDescent="0.35">
      <c r="A26" s="166">
        <v>44584</v>
      </c>
      <c r="B26" s="190"/>
      <c r="C26" s="179"/>
      <c r="D26" s="179"/>
      <c r="E26" s="175"/>
      <c r="F26" s="170">
        <f t="shared" si="3"/>
        <v>0</v>
      </c>
      <c r="G26" s="171">
        <f t="shared" si="4"/>
        <v>0</v>
      </c>
      <c r="H26" s="179"/>
      <c r="I26" s="191"/>
      <c r="J26" s="175"/>
      <c r="K26" s="192">
        <f t="shared" si="0"/>
        <v>0</v>
      </c>
      <c r="L26" s="193">
        <f t="shared" si="1"/>
        <v>0</v>
      </c>
      <c r="M26" s="174"/>
      <c r="N26" s="194"/>
      <c r="O26" s="195">
        <f t="shared" si="5"/>
        <v>250</v>
      </c>
      <c r="P26" s="196"/>
      <c r="Q26" s="178"/>
      <c r="R26" s="179"/>
      <c r="S26" s="180"/>
      <c r="T26" s="222"/>
      <c r="U26" s="124"/>
      <c r="V26" s="124"/>
      <c r="W26" s="135"/>
      <c r="X26" s="182">
        <v>27</v>
      </c>
      <c r="Y26" s="223"/>
      <c r="Z26" s="224"/>
      <c r="AA26" s="208"/>
      <c r="AB26" s="228"/>
      <c r="AC26" s="210"/>
      <c r="AD26" s="210"/>
      <c r="AE26" s="108">
        <f t="shared" si="6"/>
        <v>0</v>
      </c>
      <c r="AF26" s="208"/>
      <c r="AG26" s="226"/>
      <c r="AH26" s="202"/>
      <c r="AI26" s="203"/>
      <c r="AJ26" s="108">
        <f t="shared" si="7"/>
        <v>0</v>
      </c>
      <c r="AK26" s="17"/>
      <c r="AN26" s="16"/>
      <c r="AW26" s="2"/>
      <c r="AY26" s="2"/>
    </row>
    <row r="27" spans="1:54" ht="19.5" thickBot="1" x14ac:dyDescent="0.35">
      <c r="A27" s="166">
        <v>44585</v>
      </c>
      <c r="B27" s="190"/>
      <c r="C27" s="179"/>
      <c r="D27" s="179"/>
      <c r="E27" s="175"/>
      <c r="F27" s="170">
        <f t="shared" si="3"/>
        <v>0</v>
      </c>
      <c r="G27" s="171">
        <f t="shared" si="4"/>
        <v>0</v>
      </c>
      <c r="H27" s="179"/>
      <c r="I27" s="191"/>
      <c r="J27" s="175"/>
      <c r="K27" s="192">
        <f t="shared" si="0"/>
        <v>0</v>
      </c>
      <c r="L27" s="193">
        <f t="shared" si="1"/>
        <v>0</v>
      </c>
      <c r="M27" s="209"/>
      <c r="N27" s="194"/>
      <c r="O27" s="195">
        <f t="shared" si="5"/>
        <v>250</v>
      </c>
      <c r="P27" s="196"/>
      <c r="Q27" s="178"/>
      <c r="R27" s="179"/>
      <c r="S27" s="180"/>
      <c r="T27" s="222"/>
      <c r="U27" s="124"/>
      <c r="V27" s="124"/>
      <c r="W27" s="135"/>
      <c r="X27" s="182">
        <v>28</v>
      </c>
      <c r="Y27" s="200"/>
      <c r="Z27" s="201"/>
      <c r="AA27" s="182"/>
      <c r="AB27" s="182"/>
      <c r="AC27" s="210"/>
      <c r="AD27" s="210"/>
      <c r="AE27" s="108">
        <f t="shared" si="6"/>
        <v>0</v>
      </c>
      <c r="AF27" s="182"/>
      <c r="AG27" s="182"/>
      <c r="AH27" s="202"/>
      <c r="AI27" s="203"/>
      <c r="AJ27" s="108">
        <f t="shared" si="7"/>
        <v>0</v>
      </c>
      <c r="AK27" s="17"/>
      <c r="AN27" s="16"/>
      <c r="AR27" s="2"/>
      <c r="AS27" s="2"/>
      <c r="AT27" s="2"/>
      <c r="AU27" s="2"/>
      <c r="AV27" s="2"/>
      <c r="AW27" s="2"/>
      <c r="AY27" s="2"/>
      <c r="AZ27" s="2"/>
      <c r="BA27" s="2"/>
      <c r="BB27" s="2"/>
    </row>
    <row r="28" spans="1:54" ht="19.5" thickBot="1" x14ac:dyDescent="0.35">
      <c r="A28" s="166">
        <v>44586</v>
      </c>
      <c r="B28" s="190"/>
      <c r="C28" s="179"/>
      <c r="D28" s="179"/>
      <c r="E28" s="175"/>
      <c r="F28" s="170">
        <f t="shared" si="3"/>
        <v>0</v>
      </c>
      <c r="G28" s="171">
        <f t="shared" si="4"/>
        <v>0</v>
      </c>
      <c r="H28" s="179"/>
      <c r="I28" s="191"/>
      <c r="J28" s="175"/>
      <c r="K28" s="192">
        <f t="shared" si="0"/>
        <v>0</v>
      </c>
      <c r="L28" s="193">
        <f t="shared" si="1"/>
        <v>0</v>
      </c>
      <c r="M28" s="174"/>
      <c r="N28" s="194"/>
      <c r="O28" s="195">
        <f>SUM(L28-M28-N28+O27+P28)</f>
        <v>250</v>
      </c>
      <c r="P28" s="196"/>
      <c r="Q28" s="178"/>
      <c r="R28" s="179"/>
      <c r="S28" s="180"/>
      <c r="T28" s="222"/>
      <c r="U28" s="124"/>
      <c r="V28" s="124"/>
      <c r="W28" s="135"/>
      <c r="X28" s="182">
        <v>29</v>
      </c>
      <c r="Y28" s="200"/>
      <c r="Z28" s="201"/>
      <c r="AA28" s="182"/>
      <c r="AB28" s="182"/>
      <c r="AC28" s="210"/>
      <c r="AD28" s="210"/>
      <c r="AE28" s="108">
        <f t="shared" si="6"/>
        <v>0</v>
      </c>
      <c r="AF28" s="182"/>
      <c r="AG28" s="182"/>
      <c r="AH28" s="202"/>
      <c r="AI28" s="203"/>
      <c r="AJ28" s="108">
        <f t="shared" si="7"/>
        <v>0</v>
      </c>
      <c r="AK28" s="22"/>
      <c r="AN28" s="16"/>
      <c r="AR28" s="92"/>
      <c r="AS28" s="11"/>
      <c r="AT28" s="11"/>
      <c r="AU28" s="11"/>
      <c r="AV28" s="2"/>
      <c r="AW28" s="2"/>
      <c r="AY28" s="2"/>
      <c r="AZ28" s="2"/>
      <c r="BA28" s="12"/>
      <c r="BB28" s="2"/>
    </row>
    <row r="29" spans="1:54" ht="19.5" thickBot="1" x14ac:dyDescent="0.35">
      <c r="A29" s="166">
        <v>44587</v>
      </c>
      <c r="B29" s="190"/>
      <c r="C29" s="179"/>
      <c r="D29" s="179"/>
      <c r="E29" s="175"/>
      <c r="F29" s="170">
        <f t="shared" si="3"/>
        <v>0</v>
      </c>
      <c r="G29" s="171">
        <f t="shared" si="4"/>
        <v>0</v>
      </c>
      <c r="H29" s="179"/>
      <c r="I29" s="191"/>
      <c r="J29" s="175"/>
      <c r="K29" s="192">
        <f t="shared" si="0"/>
        <v>0</v>
      </c>
      <c r="L29" s="193">
        <f t="shared" si="1"/>
        <v>0</v>
      </c>
      <c r="M29" s="174"/>
      <c r="N29" s="194"/>
      <c r="O29" s="195">
        <f t="shared" si="5"/>
        <v>250</v>
      </c>
      <c r="P29" s="135"/>
      <c r="Q29" s="178"/>
      <c r="R29" s="179"/>
      <c r="S29" s="180"/>
      <c r="T29" s="222"/>
      <c r="U29" s="124"/>
      <c r="V29" s="124"/>
      <c r="W29" s="135"/>
      <c r="X29" s="182">
        <v>30</v>
      </c>
      <c r="Y29" s="200"/>
      <c r="Z29" s="201"/>
      <c r="AA29" s="182"/>
      <c r="AB29" s="182"/>
      <c r="AC29" s="108"/>
      <c r="AD29" s="108"/>
      <c r="AE29" s="108">
        <f t="shared" si="6"/>
        <v>0</v>
      </c>
      <c r="AF29" s="182"/>
      <c r="AG29" s="182"/>
      <c r="AH29" s="202"/>
      <c r="AI29" s="203"/>
      <c r="AJ29" s="108">
        <f t="shared" si="7"/>
        <v>0</v>
      </c>
      <c r="AK29" s="22"/>
      <c r="AN29" s="22"/>
      <c r="AR29" s="92"/>
      <c r="AS29" s="11"/>
      <c r="AT29" s="11"/>
      <c r="AU29" s="11"/>
      <c r="AV29" s="2"/>
      <c r="AW29" s="2"/>
      <c r="AY29" s="12"/>
      <c r="AZ29" s="2"/>
      <c r="BA29" s="12"/>
      <c r="BB29" s="2"/>
    </row>
    <row r="30" spans="1:54" ht="19.5" thickBot="1" x14ac:dyDescent="0.35">
      <c r="A30" s="166">
        <v>44588</v>
      </c>
      <c r="B30" s="229"/>
      <c r="C30" s="179"/>
      <c r="D30" s="179"/>
      <c r="E30" s="175"/>
      <c r="F30" s="170">
        <f t="shared" si="3"/>
        <v>0</v>
      </c>
      <c r="G30" s="171">
        <f t="shared" si="4"/>
        <v>0</v>
      </c>
      <c r="H30" s="179"/>
      <c r="I30" s="191"/>
      <c r="J30" s="175"/>
      <c r="K30" s="192">
        <f t="shared" si="0"/>
        <v>0</v>
      </c>
      <c r="L30" s="193">
        <f t="shared" si="1"/>
        <v>0</v>
      </c>
      <c r="M30" s="209"/>
      <c r="N30" s="194"/>
      <c r="O30" s="195">
        <f>SUM(L30-M30-N30+O29+P30)</f>
        <v>250</v>
      </c>
      <c r="P30" s="135"/>
      <c r="Q30" s="178"/>
      <c r="R30" s="179"/>
      <c r="S30" s="230"/>
      <c r="T30" s="222"/>
      <c r="U30" s="124"/>
      <c r="V30" s="124"/>
      <c r="W30" s="135"/>
      <c r="X30" s="24"/>
      <c r="Y30" s="160"/>
      <c r="Z30" s="161"/>
      <c r="AA30" s="24"/>
      <c r="AB30" s="24"/>
      <c r="AC30" s="231" t="s">
        <v>16</v>
      </c>
      <c r="AD30" s="231">
        <f>SUM(AD3:AD29)</f>
        <v>0</v>
      </c>
      <c r="AE30" s="163"/>
      <c r="AF30" s="232"/>
      <c r="AG30" s="24"/>
      <c r="AH30" s="233"/>
      <c r="AI30" s="165"/>
      <c r="AJ30" s="163"/>
      <c r="AK30" s="22"/>
      <c r="AN30" s="22"/>
      <c r="AR30" s="92"/>
      <c r="AS30" s="11"/>
      <c r="AT30" s="11"/>
      <c r="AU30" s="11"/>
      <c r="AV30" s="2"/>
      <c r="AW30" s="2"/>
      <c r="AY30" s="12"/>
      <c r="AZ30" s="2"/>
      <c r="BA30" s="12"/>
      <c r="BB30" s="2"/>
    </row>
    <row r="31" spans="1:54" ht="19.5" thickBot="1" x14ac:dyDescent="0.35">
      <c r="A31" s="166">
        <v>44589</v>
      </c>
      <c r="B31" s="234"/>
      <c r="C31" s="235"/>
      <c r="D31" s="236"/>
      <c r="E31" s="175"/>
      <c r="F31" s="170">
        <f t="shared" si="3"/>
        <v>0</v>
      </c>
      <c r="G31" s="171">
        <f t="shared" si="4"/>
        <v>0</v>
      </c>
      <c r="H31" s="179"/>
      <c r="I31" s="191"/>
      <c r="J31" s="237"/>
      <c r="K31" s="192">
        <f t="shared" si="0"/>
        <v>0</v>
      </c>
      <c r="L31" s="193">
        <f t="shared" si="1"/>
        <v>0</v>
      </c>
      <c r="M31" s="174"/>
      <c r="N31" s="194"/>
      <c r="O31" s="238">
        <f t="shared" si="5"/>
        <v>250</v>
      </c>
      <c r="P31" s="239" t="s">
        <v>9</v>
      </c>
      <c r="Q31" s="178"/>
      <c r="R31" s="179"/>
      <c r="S31" s="230"/>
      <c r="T31" s="222"/>
      <c r="U31" s="124"/>
      <c r="V31" s="124"/>
      <c r="W31" s="135"/>
      <c r="X31" s="24"/>
      <c r="Y31" s="160"/>
      <c r="Z31" s="161"/>
      <c r="AA31" s="24"/>
      <c r="AB31" s="24"/>
      <c r="AC31" s="163"/>
      <c r="AD31" s="163"/>
      <c r="AE31" s="163"/>
      <c r="AF31" s="24"/>
      <c r="AG31" s="24"/>
      <c r="AH31" s="233"/>
      <c r="AI31" s="165"/>
      <c r="AJ31" s="163"/>
      <c r="AK31" s="17"/>
      <c r="AN31" s="22"/>
      <c r="AR31" s="92"/>
      <c r="AS31" s="11"/>
      <c r="AT31" s="11"/>
      <c r="AU31" s="11"/>
      <c r="AV31" s="2"/>
      <c r="AW31" s="2"/>
      <c r="AY31" s="2"/>
      <c r="AZ31" s="2"/>
      <c r="BA31" s="12"/>
      <c r="BB31" s="2"/>
    </row>
    <row r="32" spans="1:54" ht="19.5" thickBot="1" x14ac:dyDescent="0.35">
      <c r="A32" s="166">
        <v>44590</v>
      </c>
      <c r="B32" s="190"/>
      <c r="C32" s="179"/>
      <c r="D32" s="179"/>
      <c r="E32" s="175"/>
      <c r="F32" s="170">
        <f t="shared" si="3"/>
        <v>0</v>
      </c>
      <c r="G32" s="171">
        <f t="shared" si="4"/>
        <v>0</v>
      </c>
      <c r="H32" s="179"/>
      <c r="I32" s="191"/>
      <c r="J32" s="175"/>
      <c r="K32" s="192">
        <f t="shared" si="0"/>
        <v>0</v>
      </c>
      <c r="L32" s="193">
        <f t="shared" si="1"/>
        <v>0</v>
      </c>
      <c r="M32" s="240"/>
      <c r="N32" s="194"/>
      <c r="O32" s="238">
        <f t="shared" si="5"/>
        <v>250</v>
      </c>
      <c r="P32" s="241" t="s">
        <v>10</v>
      </c>
      <c r="Q32" s="242"/>
      <c r="R32" s="179"/>
      <c r="S32" s="230"/>
      <c r="T32" s="222"/>
      <c r="U32" s="124"/>
      <c r="V32" s="124"/>
      <c r="W32" s="135"/>
      <c r="X32" s="24"/>
      <c r="Y32" s="160"/>
      <c r="Z32" s="161"/>
      <c r="AA32" s="243" t="s">
        <v>17</v>
      </c>
      <c r="AB32" s="24"/>
      <c r="AC32" s="244"/>
      <c r="AD32" s="244"/>
      <c r="AE32" s="163"/>
      <c r="AF32" s="24"/>
      <c r="AG32" s="24"/>
      <c r="AH32" s="233"/>
      <c r="AI32" s="165"/>
      <c r="AJ32" s="163"/>
      <c r="AK32" s="22"/>
      <c r="AN32" s="36"/>
      <c r="AR32" s="2"/>
      <c r="AS32" s="11"/>
      <c r="AT32" s="11"/>
      <c r="AU32" s="11"/>
      <c r="AV32" s="2"/>
      <c r="AW32" s="2"/>
      <c r="AY32" s="2"/>
      <c r="AZ32" s="2"/>
      <c r="BA32" s="2"/>
      <c r="BB32" s="2"/>
    </row>
    <row r="33" spans="1:54" ht="19.5" thickBot="1" x14ac:dyDescent="0.35">
      <c r="A33" s="166">
        <v>44591</v>
      </c>
      <c r="B33" s="245"/>
      <c r="C33" s="246"/>
      <c r="D33" s="246"/>
      <c r="E33" s="247"/>
      <c r="F33" s="170">
        <f t="shared" si="3"/>
        <v>0</v>
      </c>
      <c r="G33" s="171">
        <f t="shared" si="4"/>
        <v>0</v>
      </c>
      <c r="H33" s="248"/>
      <c r="I33" s="248"/>
      <c r="J33" s="247"/>
      <c r="K33" s="249">
        <f t="shared" si="0"/>
        <v>0</v>
      </c>
      <c r="L33" s="250">
        <f t="shared" si="1"/>
        <v>0</v>
      </c>
      <c r="M33" s="251"/>
      <c r="N33" s="252"/>
      <c r="O33" s="253">
        <f t="shared" si="5"/>
        <v>250</v>
      </c>
      <c r="P33" s="254">
        <f>SUM(O33)</f>
        <v>250</v>
      </c>
      <c r="Q33" s="255"/>
      <c r="R33" s="246"/>
      <c r="S33" s="256"/>
      <c r="T33" s="257"/>
      <c r="U33" s="124"/>
      <c r="V33" s="124"/>
      <c r="W33" s="135"/>
      <c r="X33" s="182">
        <v>1</v>
      </c>
      <c r="Y33" s="200"/>
      <c r="Z33" s="201"/>
      <c r="AA33" s="182"/>
      <c r="AB33" s="182"/>
      <c r="AC33" s="258"/>
      <c r="AD33" s="210"/>
      <c r="AE33" s="108">
        <f t="shared" ref="AE33:AE45" si="8">SUM(AC33:AD33)</f>
        <v>0</v>
      </c>
      <c r="AF33" s="182"/>
      <c r="AG33" s="182"/>
      <c r="AH33" s="202"/>
      <c r="AI33" s="203"/>
      <c r="AJ33" s="108">
        <f>AE33</f>
        <v>0</v>
      </c>
      <c r="AK33" s="22"/>
      <c r="AL33" s="26" t="s">
        <v>31</v>
      </c>
      <c r="AM33" s="27"/>
      <c r="AN33" s="16"/>
      <c r="AR33" s="92"/>
      <c r="AS33" s="11"/>
      <c r="AT33" s="11"/>
      <c r="AU33" s="11"/>
      <c r="AV33" s="2"/>
      <c r="AW33" s="2"/>
      <c r="AY33" s="2"/>
      <c r="AZ33" s="2"/>
      <c r="BA33" s="2"/>
      <c r="BB33" s="2"/>
    </row>
    <row r="34" spans="1:54" ht="19.5" thickBot="1" x14ac:dyDescent="0.35">
      <c r="A34" s="124"/>
      <c r="B34" s="259">
        <f>SUM(B5:B33)</f>
        <v>0</v>
      </c>
      <c r="C34" s="260">
        <f t="shared" ref="C34:N34" si="9">SUM(C3:C33)</f>
        <v>0</v>
      </c>
      <c r="D34" s="261">
        <f t="shared" si="9"/>
        <v>0</v>
      </c>
      <c r="E34" s="261">
        <f t="shared" si="9"/>
        <v>0</v>
      </c>
      <c r="F34" s="262">
        <f t="shared" si="9"/>
        <v>0</v>
      </c>
      <c r="G34" s="263"/>
      <c r="H34" s="263">
        <f>SUM(H3:H33)</f>
        <v>0</v>
      </c>
      <c r="I34" s="263"/>
      <c r="J34" s="263">
        <f t="shared" si="9"/>
        <v>0</v>
      </c>
      <c r="K34" s="264">
        <f t="shared" si="9"/>
        <v>0</v>
      </c>
      <c r="L34" s="265">
        <f t="shared" si="9"/>
        <v>0</v>
      </c>
      <c r="M34" s="266">
        <f t="shared" si="9"/>
        <v>0</v>
      </c>
      <c r="N34" s="267">
        <f t="shared" si="9"/>
        <v>0</v>
      </c>
      <c r="O34" s="135"/>
      <c r="P34" s="135"/>
      <c r="Q34" s="124"/>
      <c r="R34" s="135"/>
      <c r="S34" s="124"/>
      <c r="T34" s="124"/>
      <c r="U34" s="124"/>
      <c r="V34" s="124"/>
      <c r="W34" s="135"/>
      <c r="X34" s="182">
        <v>2</v>
      </c>
      <c r="Y34" s="268"/>
      <c r="Z34" s="205"/>
      <c r="AA34" s="206"/>
      <c r="AB34" s="206"/>
      <c r="AC34" s="258"/>
      <c r="AD34" s="210"/>
      <c r="AE34" s="108">
        <f t="shared" si="8"/>
        <v>0</v>
      </c>
      <c r="AF34" s="182"/>
      <c r="AG34" s="216"/>
      <c r="AH34" s="202"/>
      <c r="AI34" s="203"/>
      <c r="AJ34" s="108">
        <f>AE34</f>
        <v>0</v>
      </c>
      <c r="AK34" s="22"/>
      <c r="AL34" s="29">
        <f t="shared" ref="AL34:AL64" si="10">AC33</f>
        <v>0</v>
      </c>
      <c r="AM34" s="113">
        <v>1</v>
      </c>
      <c r="AN34" s="16"/>
      <c r="AR34" s="2"/>
      <c r="AS34" s="11"/>
      <c r="AT34" s="11"/>
      <c r="AU34" s="11"/>
      <c r="AV34" s="2"/>
      <c r="AW34" s="2"/>
      <c r="AY34" s="2"/>
      <c r="AZ34" s="2"/>
      <c r="BA34" s="2"/>
      <c r="BB34" s="2"/>
    </row>
    <row r="35" spans="1:54" ht="19.5" thickBot="1" x14ac:dyDescent="0.35">
      <c r="A35" s="269" t="s">
        <v>15</v>
      </c>
      <c r="B35" s="270">
        <f>SUM(B3:B33)</f>
        <v>0</v>
      </c>
      <c r="C35" s="270">
        <f>SUM(C34/1.06)</f>
        <v>0</v>
      </c>
      <c r="D35" s="270">
        <f>SUM(D34/1.12)</f>
        <v>0</v>
      </c>
      <c r="E35" s="270">
        <f>SUM(E34/1.21)</f>
        <v>0</v>
      </c>
      <c r="F35" s="270">
        <f>SUM(B35:E35)</f>
        <v>0</v>
      </c>
      <c r="G35" s="271">
        <f>SUM(G34:G34)</f>
        <v>0</v>
      </c>
      <c r="H35" s="135"/>
      <c r="I35" s="135"/>
      <c r="J35" s="179"/>
      <c r="K35" s="272"/>
      <c r="L35" s="273" t="s">
        <v>82</v>
      </c>
      <c r="M35" s="274"/>
      <c r="N35" s="275">
        <f>SUM(M34:N34)</f>
        <v>0</v>
      </c>
      <c r="O35" s="135"/>
      <c r="P35" s="135"/>
      <c r="Q35" s="124"/>
      <c r="R35" s="135"/>
      <c r="S35" s="124"/>
      <c r="T35" s="124"/>
      <c r="U35" s="124"/>
      <c r="V35" s="124"/>
      <c r="W35" s="135"/>
      <c r="X35" s="182">
        <v>3</v>
      </c>
      <c r="Y35" s="200"/>
      <c r="Z35" s="201"/>
      <c r="AA35" s="182"/>
      <c r="AB35" s="182"/>
      <c r="AC35" s="258"/>
      <c r="AD35" s="210"/>
      <c r="AE35" s="108">
        <f t="shared" si="8"/>
        <v>0</v>
      </c>
      <c r="AF35" s="182"/>
      <c r="AG35" s="182"/>
      <c r="AH35" s="202"/>
      <c r="AI35" s="203"/>
      <c r="AJ35" s="108">
        <f>AE35</f>
        <v>0</v>
      </c>
      <c r="AK35" s="22"/>
      <c r="AL35" s="29">
        <f t="shared" si="10"/>
        <v>0</v>
      </c>
      <c r="AM35" s="35">
        <v>2</v>
      </c>
      <c r="AN35" s="16"/>
      <c r="AR35" s="2"/>
      <c r="AS35" s="11"/>
      <c r="AT35" s="11"/>
      <c r="AU35" s="11"/>
      <c r="AV35" s="12"/>
      <c r="AW35" s="2"/>
      <c r="AY35" s="2"/>
      <c r="AZ35" s="2"/>
      <c r="BA35" s="2"/>
      <c r="BB35" s="2"/>
    </row>
    <row r="36" spans="1:54" ht="18.75" x14ac:dyDescent="0.3">
      <c r="A36" s="269" t="s">
        <v>16</v>
      </c>
      <c r="B36" s="276"/>
      <c r="C36" s="270">
        <f>SUM(C34-C35)</f>
        <v>0</v>
      </c>
      <c r="D36" s="270">
        <f>SUM(D34-D35)</f>
        <v>0</v>
      </c>
      <c r="E36" s="270">
        <f>SUM(E34-E35)</f>
        <v>0</v>
      </c>
      <c r="F36" s="270">
        <f>SUM(C36:E36)</f>
        <v>0</v>
      </c>
      <c r="G36" s="135"/>
      <c r="H36" s="135"/>
      <c r="I36" s="135"/>
      <c r="J36" s="135"/>
      <c r="K36" s="135"/>
      <c r="L36" s="135"/>
      <c r="M36" s="135"/>
      <c r="N36" s="135"/>
      <c r="O36" s="135"/>
      <c r="P36" s="135"/>
      <c r="Q36" s="124"/>
      <c r="R36" s="135"/>
      <c r="S36" s="124"/>
      <c r="T36" s="124"/>
      <c r="U36" s="124"/>
      <c r="V36" s="124"/>
      <c r="W36" s="135"/>
      <c r="X36" s="182">
        <v>4</v>
      </c>
      <c r="Y36" s="204"/>
      <c r="Z36" s="205"/>
      <c r="AA36" s="206"/>
      <c r="AB36" s="206"/>
      <c r="AC36" s="277"/>
      <c r="AD36" s="187"/>
      <c r="AE36" s="187">
        <f t="shared" si="8"/>
        <v>0</v>
      </c>
      <c r="AF36" s="206"/>
      <c r="AG36" s="206"/>
      <c r="AH36" s="188"/>
      <c r="AI36" s="189"/>
      <c r="AJ36" s="187">
        <v>0</v>
      </c>
      <c r="AK36" s="37"/>
      <c r="AL36" s="29">
        <f t="shared" si="10"/>
        <v>0</v>
      </c>
      <c r="AM36" s="35">
        <v>3</v>
      </c>
      <c r="AN36" s="16"/>
      <c r="AR36" s="12"/>
      <c r="AS36" s="11"/>
      <c r="AT36" s="11"/>
      <c r="AU36" s="11"/>
      <c r="AV36" s="12"/>
      <c r="AW36" s="2"/>
      <c r="AY36" s="2"/>
      <c r="AZ36" s="2"/>
      <c r="BA36" s="2"/>
      <c r="BB36" s="2"/>
    </row>
    <row r="37" spans="1:54" ht="18.75" x14ac:dyDescent="0.3">
      <c r="A37" s="124"/>
      <c r="B37" s="124"/>
      <c r="C37" s="124"/>
      <c r="D37" s="124"/>
      <c r="E37" s="124"/>
      <c r="F37" s="124"/>
      <c r="G37" s="124"/>
      <c r="H37" s="124"/>
      <c r="I37" s="124"/>
      <c r="J37" s="124"/>
      <c r="K37" s="124"/>
      <c r="L37" s="124"/>
      <c r="M37" s="124"/>
      <c r="N37" s="124"/>
      <c r="O37" s="124"/>
      <c r="P37" s="124"/>
      <c r="Q37" s="159"/>
      <c r="R37" s="135"/>
      <c r="S37" s="124"/>
      <c r="T37" s="124"/>
      <c r="U37" s="124"/>
      <c r="V37" s="124"/>
      <c r="W37" s="135"/>
      <c r="X37" s="182">
        <v>5</v>
      </c>
      <c r="Y37" s="217"/>
      <c r="Z37" s="201"/>
      <c r="AA37" s="182"/>
      <c r="AB37" s="221"/>
      <c r="AC37" s="258"/>
      <c r="AD37" s="210"/>
      <c r="AE37" s="108">
        <f t="shared" si="8"/>
        <v>0</v>
      </c>
      <c r="AF37" s="182"/>
      <c r="AG37" s="216"/>
      <c r="AH37" s="202"/>
      <c r="AI37" s="203"/>
      <c r="AJ37" s="108">
        <f>AE37</f>
        <v>0</v>
      </c>
      <c r="AK37" s="17"/>
      <c r="AL37" s="29">
        <f t="shared" si="10"/>
        <v>0</v>
      </c>
      <c r="AM37" s="35">
        <v>4</v>
      </c>
      <c r="AN37" s="22"/>
      <c r="AP37" s="122"/>
      <c r="AR37" s="12"/>
      <c r="AS37" s="11"/>
      <c r="AT37" s="11"/>
      <c r="AU37" s="11"/>
      <c r="AV37" s="12"/>
      <c r="AW37" s="2"/>
    </row>
    <row r="38" spans="1:54" ht="18.75" x14ac:dyDescent="0.3">
      <c r="A38" s="124"/>
      <c r="B38" s="124"/>
      <c r="C38" s="124"/>
      <c r="D38" s="124"/>
      <c r="E38" s="124"/>
      <c r="F38" s="124"/>
      <c r="G38" s="124"/>
      <c r="H38" s="124"/>
      <c r="I38" s="124"/>
      <c r="J38" s="124"/>
      <c r="K38" s="124"/>
      <c r="L38" s="124"/>
      <c r="M38" s="124"/>
      <c r="N38" s="124"/>
      <c r="O38" s="124"/>
      <c r="P38" s="124"/>
      <c r="Q38" s="124"/>
      <c r="R38" s="135"/>
      <c r="S38" s="124"/>
      <c r="T38" s="124"/>
      <c r="U38" s="124"/>
      <c r="V38" s="124"/>
      <c r="W38" s="135"/>
      <c r="X38" s="182">
        <v>6</v>
      </c>
      <c r="Y38" s="204"/>
      <c r="Z38" s="205"/>
      <c r="AA38" s="206"/>
      <c r="AB38" s="206"/>
      <c r="AC38" s="277"/>
      <c r="AD38" s="187"/>
      <c r="AE38" s="187">
        <f t="shared" si="8"/>
        <v>0</v>
      </c>
      <c r="AF38" s="206"/>
      <c r="AG38" s="278"/>
      <c r="AH38" s="188"/>
      <c r="AI38" s="189"/>
      <c r="AJ38" s="187">
        <v>0</v>
      </c>
      <c r="AK38" s="17"/>
      <c r="AL38" s="29">
        <f t="shared" si="10"/>
        <v>0</v>
      </c>
      <c r="AM38" s="35">
        <v>5</v>
      </c>
      <c r="AN38" s="16"/>
      <c r="AR38" s="2"/>
      <c r="AS38" s="11"/>
      <c r="AT38" s="11"/>
      <c r="AU38" s="11"/>
      <c r="AV38" s="12"/>
      <c r="AW38" s="2"/>
      <c r="BA38" s="7"/>
    </row>
    <row r="39" spans="1:54" ht="18.75" x14ac:dyDescent="0.3">
      <c r="A39" s="124"/>
      <c r="B39" s="124"/>
      <c r="C39" s="124"/>
      <c r="D39" s="124"/>
      <c r="E39" s="124"/>
      <c r="F39" s="124"/>
      <c r="G39" s="124"/>
      <c r="H39" s="124"/>
      <c r="I39" s="124"/>
      <c r="J39" s="124"/>
      <c r="K39" s="124"/>
      <c r="L39" s="124"/>
      <c r="M39" s="124"/>
      <c r="N39" s="124"/>
      <c r="O39" s="124"/>
      <c r="P39" s="124"/>
      <c r="Q39" s="124"/>
      <c r="R39" s="135"/>
      <c r="S39" s="124"/>
      <c r="T39" s="124"/>
      <c r="U39" s="124"/>
      <c r="V39" s="124"/>
      <c r="W39" s="135"/>
      <c r="X39" s="182">
        <v>7</v>
      </c>
      <c r="Y39" s="200"/>
      <c r="Z39" s="201"/>
      <c r="AA39" s="182"/>
      <c r="AB39" s="182"/>
      <c r="AC39" s="277"/>
      <c r="AD39" s="108"/>
      <c r="AE39" s="108">
        <f t="shared" si="8"/>
        <v>0</v>
      </c>
      <c r="AF39" s="182"/>
      <c r="AG39" s="182"/>
      <c r="AH39" s="202"/>
      <c r="AI39" s="203"/>
      <c r="AJ39" s="108">
        <f t="shared" ref="AJ39:AJ45" si="11">AE39</f>
        <v>0</v>
      </c>
      <c r="AK39" s="17"/>
      <c r="AL39" s="29">
        <f t="shared" si="10"/>
        <v>0</v>
      </c>
      <c r="AM39" s="35">
        <v>6</v>
      </c>
      <c r="AN39" s="16"/>
      <c r="AR39" s="2"/>
      <c r="AS39" s="11"/>
      <c r="AT39" s="11"/>
      <c r="AU39" s="11"/>
      <c r="AV39" s="12"/>
      <c r="AW39" s="2"/>
      <c r="BA39" s="7"/>
    </row>
    <row r="40" spans="1:54" ht="18.75" x14ac:dyDescent="0.3">
      <c r="A40" s="124"/>
      <c r="B40" s="124"/>
      <c r="C40" s="124"/>
      <c r="D40" s="124"/>
      <c r="E40" s="124"/>
      <c r="F40" s="124"/>
      <c r="G40" s="124"/>
      <c r="H40" s="124"/>
      <c r="I40" s="124"/>
      <c r="J40" s="124"/>
      <c r="K40" s="124"/>
      <c r="L40" s="124"/>
      <c r="M40" s="124"/>
      <c r="N40" s="324"/>
      <c r="O40" s="324"/>
      <c r="P40" s="124"/>
      <c r="Q40" s="124"/>
      <c r="R40" s="135"/>
      <c r="S40" s="124"/>
      <c r="T40" s="124"/>
      <c r="U40" s="124"/>
      <c r="V40" s="124"/>
      <c r="W40" s="135"/>
      <c r="X40" s="182">
        <v>8</v>
      </c>
      <c r="Y40" s="200"/>
      <c r="Z40" s="201"/>
      <c r="AA40" s="182"/>
      <c r="AB40" s="182"/>
      <c r="AC40" s="258"/>
      <c r="AD40" s="210"/>
      <c r="AE40" s="108">
        <f t="shared" si="8"/>
        <v>0</v>
      </c>
      <c r="AF40" s="182"/>
      <c r="AG40" s="182"/>
      <c r="AH40" s="202"/>
      <c r="AI40" s="203"/>
      <c r="AJ40" s="108">
        <f t="shared" si="11"/>
        <v>0</v>
      </c>
      <c r="AK40" s="17"/>
      <c r="AL40" s="29">
        <f t="shared" si="10"/>
        <v>0</v>
      </c>
      <c r="AM40" s="35">
        <v>7</v>
      </c>
      <c r="AN40" s="16"/>
      <c r="AR40" s="2"/>
      <c r="AS40" s="11"/>
      <c r="AT40" s="11"/>
      <c r="AU40" s="11"/>
      <c r="AV40" s="12"/>
      <c r="AW40" s="2"/>
    </row>
    <row r="41" spans="1:54" ht="18.75" x14ac:dyDescent="0.3">
      <c r="A41" s="124"/>
      <c r="B41" s="124"/>
      <c r="C41" s="124"/>
      <c r="D41" s="124"/>
      <c r="E41" s="124"/>
      <c r="F41" s="124"/>
      <c r="G41" s="124"/>
      <c r="H41" s="124"/>
      <c r="I41" s="124"/>
      <c r="J41" s="124"/>
      <c r="K41" s="124"/>
      <c r="L41" s="124"/>
      <c r="M41" s="124"/>
      <c r="N41" s="324"/>
      <c r="O41" s="324"/>
      <c r="P41" s="124"/>
      <c r="Q41" s="124"/>
      <c r="R41" s="135"/>
      <c r="S41" s="124"/>
      <c r="T41" s="124"/>
      <c r="U41" s="124"/>
      <c r="V41" s="124"/>
      <c r="W41" s="135"/>
      <c r="X41" s="182">
        <v>9</v>
      </c>
      <c r="Y41" s="200"/>
      <c r="Z41" s="201"/>
      <c r="AA41" s="182"/>
      <c r="AB41" s="182"/>
      <c r="AC41" s="277"/>
      <c r="AD41" s="108"/>
      <c r="AE41" s="108">
        <f t="shared" si="8"/>
        <v>0</v>
      </c>
      <c r="AF41" s="182"/>
      <c r="AG41" s="182"/>
      <c r="AH41" s="202"/>
      <c r="AI41" s="203"/>
      <c r="AJ41" s="108">
        <f t="shared" si="11"/>
        <v>0</v>
      </c>
      <c r="AK41" s="17"/>
      <c r="AL41" s="29">
        <f t="shared" si="10"/>
        <v>0</v>
      </c>
      <c r="AM41" s="35">
        <v>8</v>
      </c>
      <c r="AN41" s="16"/>
      <c r="AR41" s="2"/>
      <c r="AS41" s="11"/>
      <c r="AT41" s="11"/>
      <c r="AU41" s="11"/>
      <c r="AV41" s="12"/>
      <c r="AW41" s="2"/>
    </row>
    <row r="42" spans="1:54" ht="18.75" x14ac:dyDescent="0.3">
      <c r="A42" s="124"/>
      <c r="B42" s="124"/>
      <c r="C42" s="124"/>
      <c r="D42" s="124"/>
      <c r="E42" s="124"/>
      <c r="F42" s="124"/>
      <c r="G42" s="124"/>
      <c r="H42" s="124"/>
      <c r="I42" s="124" t="s">
        <v>14</v>
      </c>
      <c r="J42" s="124"/>
      <c r="K42" s="124"/>
      <c r="L42" s="124"/>
      <c r="M42" s="124"/>
      <c r="N42" s="324"/>
      <c r="O42" s="324"/>
      <c r="P42" s="124"/>
      <c r="Q42" s="124"/>
      <c r="R42" s="135"/>
      <c r="S42" s="124"/>
      <c r="T42" s="124"/>
      <c r="U42" s="124"/>
      <c r="V42" s="124"/>
      <c r="W42" s="135"/>
      <c r="X42" s="182">
        <v>10</v>
      </c>
      <c r="Y42" s="200"/>
      <c r="Z42" s="201"/>
      <c r="AA42" s="182"/>
      <c r="AB42" s="182"/>
      <c r="AC42" s="258"/>
      <c r="AD42" s="210"/>
      <c r="AE42" s="108">
        <f t="shared" si="8"/>
        <v>0</v>
      </c>
      <c r="AF42" s="182"/>
      <c r="AG42" s="182"/>
      <c r="AH42" s="202"/>
      <c r="AI42" s="203"/>
      <c r="AJ42" s="108">
        <f t="shared" si="11"/>
        <v>0</v>
      </c>
      <c r="AK42" s="22"/>
      <c r="AL42" s="29">
        <f t="shared" si="10"/>
        <v>0</v>
      </c>
      <c r="AM42" s="35">
        <v>9</v>
      </c>
      <c r="AN42" s="16"/>
      <c r="AR42" s="2"/>
      <c r="AS42" s="11"/>
      <c r="AT42" s="11"/>
      <c r="AU42" s="11"/>
      <c r="AV42" s="2"/>
      <c r="AW42" s="2"/>
    </row>
    <row r="43" spans="1:54" ht="15.75" x14ac:dyDescent="0.25">
      <c r="A43" s="124"/>
      <c r="B43" s="124"/>
      <c r="C43" s="279"/>
      <c r="D43" s="279"/>
      <c r="E43" s="124"/>
      <c r="F43" s="124"/>
      <c r="G43" s="124"/>
      <c r="H43" s="124"/>
      <c r="I43" s="124"/>
      <c r="J43" s="124"/>
      <c r="K43" s="124"/>
      <c r="L43" s="124"/>
      <c r="M43" s="124"/>
      <c r="N43" s="324"/>
      <c r="O43" s="325"/>
      <c r="P43" s="124"/>
      <c r="Q43" s="124"/>
      <c r="R43" s="135"/>
      <c r="S43" s="124"/>
      <c r="T43" s="124"/>
      <c r="U43" s="124"/>
      <c r="V43" s="124"/>
      <c r="W43" s="135"/>
      <c r="X43" s="182">
        <v>11</v>
      </c>
      <c r="Y43" s="200"/>
      <c r="Z43" s="201"/>
      <c r="AA43" s="182"/>
      <c r="AB43" s="182"/>
      <c r="AC43" s="258"/>
      <c r="AD43" s="210"/>
      <c r="AE43" s="108">
        <f t="shared" si="8"/>
        <v>0</v>
      </c>
      <c r="AF43" s="182"/>
      <c r="AG43" s="182"/>
      <c r="AH43" s="202"/>
      <c r="AI43" s="203"/>
      <c r="AJ43" s="108">
        <f t="shared" si="11"/>
        <v>0</v>
      </c>
      <c r="AK43" s="23"/>
      <c r="AL43" s="29">
        <f t="shared" si="10"/>
        <v>0</v>
      </c>
      <c r="AM43" s="35">
        <v>10</v>
      </c>
      <c r="AN43" s="38"/>
      <c r="AR43" s="2"/>
      <c r="AS43" s="11"/>
      <c r="AT43" s="11"/>
      <c r="AU43" s="11"/>
      <c r="AV43" s="2"/>
    </row>
    <row r="44" spans="1:54" ht="15.75" x14ac:dyDescent="0.25">
      <c r="A44" s="124"/>
      <c r="B44" s="124"/>
      <c r="C44" s="124"/>
      <c r="D44" s="124"/>
      <c r="E44" s="124"/>
      <c r="F44" s="124"/>
      <c r="G44" s="124"/>
      <c r="H44" s="124"/>
      <c r="I44" s="124"/>
      <c r="J44" s="135"/>
      <c r="K44" s="124"/>
      <c r="L44" s="124"/>
      <c r="M44" s="124"/>
      <c r="N44" s="324"/>
      <c r="O44" s="324"/>
      <c r="P44" s="124"/>
      <c r="Q44" s="124"/>
      <c r="R44" s="135"/>
      <c r="S44" s="124"/>
      <c r="T44" s="124"/>
      <c r="U44" s="124"/>
      <c r="V44" s="124"/>
      <c r="W44" s="135"/>
      <c r="X44" s="182">
        <v>12</v>
      </c>
      <c r="Y44" s="200"/>
      <c r="Z44" s="201"/>
      <c r="AA44" s="221"/>
      <c r="AB44" s="182"/>
      <c r="AC44" s="258"/>
      <c r="AD44" s="210"/>
      <c r="AE44" s="108">
        <f t="shared" si="8"/>
        <v>0</v>
      </c>
      <c r="AF44" s="182"/>
      <c r="AG44" s="182"/>
      <c r="AH44" s="202"/>
      <c r="AI44" s="203"/>
      <c r="AJ44" s="108">
        <f t="shared" si="11"/>
        <v>0</v>
      </c>
      <c r="AK44" s="25"/>
      <c r="AL44" s="29">
        <f t="shared" si="10"/>
        <v>0</v>
      </c>
      <c r="AM44" s="35">
        <v>11</v>
      </c>
      <c r="AN44" s="28"/>
      <c r="AR44" s="2"/>
      <c r="AS44" s="11"/>
      <c r="AT44" s="11"/>
      <c r="AU44" s="11"/>
      <c r="AV44" s="2"/>
    </row>
    <row r="45" spans="1:54" ht="15.75" x14ac:dyDescent="0.25">
      <c r="A45" s="135"/>
      <c r="B45" s="135"/>
      <c r="C45" s="135"/>
      <c r="D45" s="135"/>
      <c r="E45" s="135"/>
      <c r="F45" s="135"/>
      <c r="G45" s="135"/>
      <c r="H45" s="135"/>
      <c r="I45" s="135"/>
      <c r="J45" s="135"/>
      <c r="K45" s="135"/>
      <c r="L45" s="135"/>
      <c r="M45" s="135"/>
      <c r="N45" s="326"/>
      <c r="O45" s="327"/>
      <c r="P45" s="135"/>
      <c r="Q45" s="124"/>
      <c r="R45" s="135"/>
      <c r="S45" s="124"/>
      <c r="T45" s="124"/>
      <c r="U45" s="124"/>
      <c r="V45" s="124"/>
      <c r="W45" s="135"/>
      <c r="X45" s="182">
        <v>13</v>
      </c>
      <c r="Y45" s="200"/>
      <c r="Z45" s="201"/>
      <c r="AA45" s="182"/>
      <c r="AB45" s="182"/>
      <c r="AC45" s="258"/>
      <c r="AD45" s="210"/>
      <c r="AE45" s="108">
        <f t="shared" si="8"/>
        <v>0</v>
      </c>
      <c r="AF45" s="182"/>
      <c r="AG45" s="208"/>
      <c r="AH45" s="202"/>
      <c r="AI45" s="203"/>
      <c r="AJ45" s="108">
        <f t="shared" si="11"/>
        <v>0</v>
      </c>
      <c r="AK45" s="25"/>
      <c r="AL45" s="29">
        <f t="shared" si="10"/>
        <v>0</v>
      </c>
      <c r="AM45" s="35">
        <v>12</v>
      </c>
      <c r="AN45" s="32"/>
      <c r="AR45" s="2"/>
      <c r="AS45" s="11"/>
      <c r="AT45" s="11"/>
      <c r="AU45" s="11"/>
      <c r="AV45" s="2"/>
    </row>
    <row r="46" spans="1:54" ht="18.75" x14ac:dyDescent="0.3">
      <c r="A46" s="135"/>
      <c r="B46" s="135"/>
      <c r="C46" s="135"/>
      <c r="D46" s="135"/>
      <c r="E46" s="135"/>
      <c r="F46" s="135"/>
      <c r="G46" s="135"/>
      <c r="H46" s="135"/>
      <c r="I46" s="135"/>
      <c r="J46" s="124"/>
      <c r="K46" s="135"/>
      <c r="L46" s="135"/>
      <c r="M46" s="135"/>
      <c r="N46" s="135"/>
      <c r="O46" s="135"/>
      <c r="P46" s="135" t="s">
        <v>14</v>
      </c>
      <c r="Q46" s="124"/>
      <c r="R46" s="135"/>
      <c r="S46" s="124"/>
      <c r="T46" s="124"/>
      <c r="U46" s="124"/>
      <c r="V46" s="124"/>
      <c r="W46" s="135"/>
      <c r="X46" s="182">
        <v>14</v>
      </c>
      <c r="Y46" s="200"/>
      <c r="Z46" s="201"/>
      <c r="AA46" s="182"/>
      <c r="AB46" s="182"/>
      <c r="AC46" s="258"/>
      <c r="AD46" s="210"/>
      <c r="AE46" s="108">
        <f t="shared" ref="AE46:AE62" si="12">SUM(AC46:AD46)</f>
        <v>0</v>
      </c>
      <c r="AF46" s="182"/>
      <c r="AG46" s="226"/>
      <c r="AH46" s="202"/>
      <c r="AI46" s="203"/>
      <c r="AJ46" s="108">
        <f t="shared" ref="AJ46:AJ62" si="13">AE46</f>
        <v>0</v>
      </c>
      <c r="AK46" s="22"/>
      <c r="AL46" s="29">
        <f t="shared" si="10"/>
        <v>0</v>
      </c>
      <c r="AM46" s="35">
        <v>13</v>
      </c>
      <c r="AN46" s="34"/>
      <c r="AR46" s="2"/>
      <c r="AS46" s="11"/>
      <c r="AT46" s="11"/>
      <c r="AU46" s="11"/>
      <c r="AV46" s="2"/>
    </row>
    <row r="47" spans="1:54" ht="15.75" x14ac:dyDescent="0.25">
      <c r="A47" s="280"/>
      <c r="B47" s="135"/>
      <c r="C47" s="135"/>
      <c r="D47" s="135"/>
      <c r="E47" s="135"/>
      <c r="F47" s="281"/>
      <c r="G47" s="135"/>
      <c r="H47" s="135"/>
      <c r="I47" s="135"/>
      <c r="J47" s="135"/>
      <c r="K47" s="135"/>
      <c r="L47" s="135"/>
      <c r="M47" s="135"/>
      <c r="N47" s="135"/>
      <c r="O47" s="135"/>
      <c r="P47" s="135"/>
      <c r="Q47" s="124"/>
      <c r="R47" s="135"/>
      <c r="S47" s="124"/>
      <c r="T47" s="124"/>
      <c r="U47" s="124"/>
      <c r="V47" s="124"/>
      <c r="W47" s="135"/>
      <c r="X47" s="182">
        <v>15</v>
      </c>
      <c r="Y47" s="200"/>
      <c r="Z47" s="201"/>
      <c r="AA47" s="182"/>
      <c r="AB47" s="228"/>
      <c r="AC47" s="258"/>
      <c r="AD47" s="210"/>
      <c r="AE47" s="108">
        <f t="shared" si="12"/>
        <v>0</v>
      </c>
      <c r="AF47" s="182"/>
      <c r="AG47" s="182"/>
      <c r="AH47" s="202"/>
      <c r="AI47" s="203"/>
      <c r="AJ47" s="108">
        <f t="shared" si="13"/>
        <v>0</v>
      </c>
      <c r="AK47" s="23"/>
      <c r="AL47" s="29">
        <f t="shared" si="10"/>
        <v>0</v>
      </c>
      <c r="AM47" s="35">
        <v>14</v>
      </c>
      <c r="AN47" s="24"/>
      <c r="BA47" s="7"/>
    </row>
    <row r="48" spans="1:54" ht="15.75" x14ac:dyDescent="0.25">
      <c r="A48" s="280"/>
      <c r="B48" s="135"/>
      <c r="C48" s="135"/>
      <c r="D48" s="135"/>
      <c r="E48" s="135"/>
      <c r="F48" s="135"/>
      <c r="G48" s="135"/>
      <c r="H48" s="135"/>
      <c r="I48" s="135"/>
      <c r="J48" s="135"/>
      <c r="K48" s="135"/>
      <c r="L48" s="135"/>
      <c r="M48" s="135"/>
      <c r="N48" s="135"/>
      <c r="O48" s="135"/>
      <c r="P48" s="135"/>
      <c r="Q48" s="124"/>
      <c r="R48" s="135"/>
      <c r="S48" s="124"/>
      <c r="T48" s="124"/>
      <c r="U48" s="124"/>
      <c r="V48" s="124"/>
      <c r="W48" s="135"/>
      <c r="X48" s="182">
        <v>16</v>
      </c>
      <c r="Y48" s="200"/>
      <c r="Z48" s="201"/>
      <c r="AA48" s="182"/>
      <c r="AB48" s="182"/>
      <c r="AC48" s="258"/>
      <c r="AD48" s="210"/>
      <c r="AE48" s="108">
        <f t="shared" si="12"/>
        <v>0</v>
      </c>
      <c r="AF48" s="182"/>
      <c r="AG48" s="182"/>
      <c r="AH48" s="202"/>
      <c r="AI48" s="203"/>
      <c r="AJ48" s="108">
        <f t="shared" si="13"/>
        <v>0</v>
      </c>
      <c r="AK48" s="23"/>
      <c r="AL48" s="29">
        <f t="shared" si="10"/>
        <v>0</v>
      </c>
      <c r="AM48" s="35">
        <v>15</v>
      </c>
      <c r="AN48" s="24"/>
      <c r="AY48" s="7"/>
      <c r="BA48" s="7"/>
    </row>
    <row r="49" spans="1:54" ht="18.75" x14ac:dyDescent="0.3">
      <c r="A49" s="280"/>
      <c r="B49" s="135"/>
      <c r="C49" s="135"/>
      <c r="D49" s="135"/>
      <c r="E49" s="135"/>
      <c r="F49" s="281"/>
      <c r="G49" s="135"/>
      <c r="H49" s="135"/>
      <c r="I49" s="135"/>
      <c r="J49" s="135"/>
      <c r="K49" s="135"/>
      <c r="L49" s="135"/>
      <c r="M49" s="135"/>
      <c r="N49" s="135"/>
      <c r="O49" s="135"/>
      <c r="P49" s="135"/>
      <c r="Q49" s="124"/>
      <c r="R49" s="135"/>
      <c r="S49" s="124"/>
      <c r="T49" s="124"/>
      <c r="U49" s="124"/>
      <c r="V49" s="124"/>
      <c r="W49" s="135"/>
      <c r="X49" s="182">
        <v>17</v>
      </c>
      <c r="Y49" s="223"/>
      <c r="Z49" s="224"/>
      <c r="AA49" s="208"/>
      <c r="AB49" s="208"/>
      <c r="AC49" s="277"/>
      <c r="AD49" s="108"/>
      <c r="AE49" s="108">
        <f t="shared" si="12"/>
        <v>0</v>
      </c>
      <c r="AF49" s="208"/>
      <c r="AG49" s="208"/>
      <c r="AH49" s="202"/>
      <c r="AI49" s="203"/>
      <c r="AJ49" s="108">
        <f t="shared" si="13"/>
        <v>0</v>
      </c>
      <c r="AK49" s="22"/>
      <c r="AL49" s="29">
        <f t="shared" si="10"/>
        <v>0</v>
      </c>
      <c r="AM49" s="35">
        <v>16</v>
      </c>
      <c r="AN49" s="22"/>
      <c r="AY49" s="7"/>
      <c r="BA49" s="7"/>
    </row>
    <row r="50" spans="1:54" ht="18.75" x14ac:dyDescent="0.3">
      <c r="A50" s="280"/>
      <c r="B50" s="135"/>
      <c r="C50" s="135"/>
      <c r="D50" s="135"/>
      <c r="E50" s="135"/>
      <c r="F50" s="281"/>
      <c r="G50" s="135"/>
      <c r="H50" s="135"/>
      <c r="I50" s="135"/>
      <c r="J50" s="135"/>
      <c r="K50" s="135"/>
      <c r="L50" s="135"/>
      <c r="M50" s="135"/>
      <c r="N50" s="135"/>
      <c r="O50" s="135"/>
      <c r="P50" s="135"/>
      <c r="Q50" s="124"/>
      <c r="R50" s="135"/>
      <c r="S50" s="124"/>
      <c r="T50" s="124"/>
      <c r="U50" s="124"/>
      <c r="V50" s="124"/>
      <c r="W50" s="135"/>
      <c r="X50" s="182">
        <v>18</v>
      </c>
      <c r="Y50" s="200"/>
      <c r="Z50" s="201"/>
      <c r="AA50" s="182"/>
      <c r="AB50" s="182"/>
      <c r="AC50" s="277"/>
      <c r="AD50" s="108"/>
      <c r="AE50" s="108">
        <f t="shared" si="12"/>
        <v>0</v>
      </c>
      <c r="AF50" s="182"/>
      <c r="AG50" s="216"/>
      <c r="AH50" s="202"/>
      <c r="AI50" s="203"/>
      <c r="AJ50" s="108">
        <f t="shared" si="13"/>
        <v>0</v>
      </c>
      <c r="AK50" s="22"/>
      <c r="AL50" s="29">
        <f t="shared" si="10"/>
        <v>0</v>
      </c>
      <c r="AM50" s="35">
        <v>17</v>
      </c>
      <c r="AN50" s="22"/>
      <c r="AY50" s="2"/>
    </row>
    <row r="51" spans="1:54" ht="18.75" x14ac:dyDescent="0.3">
      <c r="A51" s="280"/>
      <c r="B51" s="135"/>
      <c r="C51" s="135"/>
      <c r="D51" s="135"/>
      <c r="E51" s="135"/>
      <c r="F51" s="281"/>
      <c r="G51" s="135"/>
      <c r="H51" s="135"/>
      <c r="I51" s="135"/>
      <c r="J51" s="135"/>
      <c r="K51" s="135"/>
      <c r="L51" s="135"/>
      <c r="M51" s="135"/>
      <c r="N51" s="135"/>
      <c r="O51" s="135"/>
      <c r="P51" s="135"/>
      <c r="Q51" s="124"/>
      <c r="R51" s="135"/>
      <c r="S51" s="124"/>
      <c r="T51" s="124"/>
      <c r="U51" s="124"/>
      <c r="V51" s="124"/>
      <c r="W51" s="135"/>
      <c r="X51" s="182">
        <v>19</v>
      </c>
      <c r="Y51" s="200"/>
      <c r="Z51" s="201"/>
      <c r="AA51" s="182"/>
      <c r="AB51" s="221"/>
      <c r="AC51" s="277"/>
      <c r="AD51" s="108"/>
      <c r="AE51" s="108">
        <f t="shared" si="12"/>
        <v>0</v>
      </c>
      <c r="AF51" s="182"/>
      <c r="AG51" s="182"/>
      <c r="AH51" s="202"/>
      <c r="AI51" s="203"/>
      <c r="AJ51" s="108">
        <f t="shared" si="13"/>
        <v>0</v>
      </c>
      <c r="AK51" s="22"/>
      <c r="AL51" s="29">
        <f t="shared" si="10"/>
        <v>0</v>
      </c>
      <c r="AM51" s="35">
        <v>18</v>
      </c>
      <c r="AN51" s="22"/>
      <c r="AR51" s="2"/>
      <c r="AS51" s="2"/>
      <c r="AT51" s="2"/>
      <c r="AU51" s="2"/>
      <c r="AV51" s="2"/>
      <c r="AY51" s="2"/>
      <c r="AZ51" s="2"/>
      <c r="BA51" s="2"/>
      <c r="BB51" s="2"/>
    </row>
    <row r="52" spans="1:54" ht="18.75" x14ac:dyDescent="0.3">
      <c r="A52" s="280"/>
      <c r="B52" s="135"/>
      <c r="C52" s="135"/>
      <c r="D52" s="135"/>
      <c r="E52" s="135"/>
      <c r="F52" s="135"/>
      <c r="G52" s="135"/>
      <c r="H52" s="135"/>
      <c r="I52" s="135"/>
      <c r="J52" s="135"/>
      <c r="K52" s="135"/>
      <c r="L52" s="135"/>
      <c r="M52" s="135"/>
      <c r="N52" s="135"/>
      <c r="O52" s="135"/>
      <c r="P52" s="135"/>
      <c r="Q52" s="124"/>
      <c r="R52" s="135"/>
      <c r="S52" s="124"/>
      <c r="T52" s="124"/>
      <c r="U52" s="124"/>
      <c r="V52" s="124"/>
      <c r="W52" s="135"/>
      <c r="X52" s="182">
        <v>20</v>
      </c>
      <c r="Y52" s="200"/>
      <c r="Z52" s="201"/>
      <c r="AA52" s="182"/>
      <c r="AB52" s="182"/>
      <c r="AC52" s="277"/>
      <c r="AD52" s="108"/>
      <c r="AE52" s="108">
        <f t="shared" si="12"/>
        <v>0</v>
      </c>
      <c r="AF52" s="182"/>
      <c r="AG52" s="182"/>
      <c r="AH52" s="202"/>
      <c r="AI52" s="203"/>
      <c r="AJ52" s="108">
        <f t="shared" si="13"/>
        <v>0</v>
      </c>
      <c r="AK52" s="22"/>
      <c r="AL52" s="29">
        <f t="shared" si="10"/>
        <v>0</v>
      </c>
      <c r="AM52" s="35">
        <v>19</v>
      </c>
      <c r="AN52" s="22"/>
      <c r="AR52" s="92"/>
      <c r="AS52" s="11"/>
      <c r="AT52" s="11"/>
      <c r="AU52" s="2"/>
      <c r="AV52" s="2"/>
      <c r="AY52" s="2"/>
      <c r="AZ52" s="2"/>
      <c r="BA52" s="12"/>
      <c r="BB52" s="2"/>
    </row>
    <row r="53" spans="1:54" ht="18.75" x14ac:dyDescent="0.3">
      <c r="A53" s="280"/>
      <c r="B53" s="135"/>
      <c r="C53" s="135"/>
      <c r="D53" s="135"/>
      <c r="E53" s="135"/>
      <c r="F53" s="135"/>
      <c r="G53" s="135"/>
      <c r="H53" s="135"/>
      <c r="I53" s="135"/>
      <c r="J53" s="135"/>
      <c r="K53" s="135"/>
      <c r="L53" s="135"/>
      <c r="M53" s="135"/>
      <c r="N53" s="135"/>
      <c r="O53" s="135"/>
      <c r="P53" s="135"/>
      <c r="Q53" s="124"/>
      <c r="R53" s="135"/>
      <c r="S53" s="124"/>
      <c r="T53" s="124"/>
      <c r="U53" s="124"/>
      <c r="V53" s="124"/>
      <c r="W53" s="135"/>
      <c r="X53" s="182">
        <v>21</v>
      </c>
      <c r="Y53" s="200"/>
      <c r="Z53" s="201"/>
      <c r="AA53" s="182"/>
      <c r="AB53" s="225"/>
      <c r="AC53" s="277"/>
      <c r="AD53" s="108"/>
      <c r="AE53" s="108">
        <f t="shared" si="12"/>
        <v>0</v>
      </c>
      <c r="AF53" s="182"/>
      <c r="AG53" s="182"/>
      <c r="AH53" s="202"/>
      <c r="AI53" s="203"/>
      <c r="AJ53" s="108">
        <f t="shared" si="13"/>
        <v>0</v>
      </c>
      <c r="AK53" s="22"/>
      <c r="AL53" s="29">
        <f t="shared" si="10"/>
        <v>0</v>
      </c>
      <c r="AM53" s="35">
        <v>20</v>
      </c>
      <c r="AN53" s="16"/>
      <c r="AR53" s="92"/>
      <c r="AS53" s="11"/>
      <c r="AT53" s="11"/>
      <c r="AU53" s="2"/>
      <c r="AV53" s="2"/>
      <c r="AY53" s="12"/>
      <c r="AZ53" s="2"/>
      <c r="BA53" s="12"/>
      <c r="BB53" s="2"/>
    </row>
    <row r="54" spans="1:54" ht="18.75" x14ac:dyDescent="0.3">
      <c r="A54" s="280"/>
      <c r="B54" s="135"/>
      <c r="C54" s="135"/>
      <c r="D54" s="135"/>
      <c r="E54" s="135"/>
      <c r="F54" s="135"/>
      <c r="G54" s="135"/>
      <c r="H54" s="135"/>
      <c r="I54" s="135"/>
      <c r="J54" s="135"/>
      <c r="K54" s="135"/>
      <c r="L54" s="135"/>
      <c r="M54" s="135"/>
      <c r="N54" s="135"/>
      <c r="O54" s="135"/>
      <c r="P54" s="135"/>
      <c r="Q54" s="124"/>
      <c r="R54" s="135"/>
      <c r="S54" s="124"/>
      <c r="T54" s="124"/>
      <c r="U54" s="124"/>
      <c r="V54" s="124"/>
      <c r="W54" s="135"/>
      <c r="X54" s="182">
        <v>22</v>
      </c>
      <c r="Y54" s="200"/>
      <c r="Z54" s="201"/>
      <c r="AA54" s="182"/>
      <c r="AB54" s="182"/>
      <c r="AC54" s="277"/>
      <c r="AD54" s="108"/>
      <c r="AE54" s="108">
        <f t="shared" si="12"/>
        <v>0</v>
      </c>
      <c r="AF54" s="182"/>
      <c r="AG54" s="182"/>
      <c r="AH54" s="202"/>
      <c r="AI54" s="203"/>
      <c r="AJ54" s="108">
        <f t="shared" si="13"/>
        <v>0</v>
      </c>
      <c r="AK54" s="22"/>
      <c r="AL54" s="29">
        <f t="shared" si="10"/>
        <v>0</v>
      </c>
      <c r="AM54" s="35">
        <v>21</v>
      </c>
      <c r="AN54" s="22"/>
      <c r="AR54" s="92"/>
      <c r="AS54" s="11"/>
      <c r="AT54" s="11"/>
      <c r="AU54" s="2"/>
      <c r="AV54" s="2"/>
      <c r="AY54" s="12"/>
      <c r="AZ54" s="2"/>
      <c r="BA54" s="12"/>
      <c r="BB54" s="2"/>
    </row>
    <row r="55" spans="1:54" ht="18.75" x14ac:dyDescent="0.3">
      <c r="A55" s="280"/>
      <c r="B55" s="135"/>
      <c r="C55" s="135"/>
      <c r="D55" s="135"/>
      <c r="E55" s="135"/>
      <c r="F55" s="135"/>
      <c r="G55" s="135"/>
      <c r="H55" s="135"/>
      <c r="I55" s="135"/>
      <c r="J55" s="135"/>
      <c r="K55" s="135"/>
      <c r="L55" s="135"/>
      <c r="M55" s="135"/>
      <c r="N55" s="135"/>
      <c r="O55" s="135"/>
      <c r="P55" s="135"/>
      <c r="Q55" s="124"/>
      <c r="R55" s="135"/>
      <c r="S55" s="124"/>
      <c r="T55" s="124"/>
      <c r="U55" s="124"/>
      <c r="V55" s="124"/>
      <c r="W55" s="135"/>
      <c r="X55" s="182">
        <v>23</v>
      </c>
      <c r="Y55" s="217"/>
      <c r="Z55" s="201"/>
      <c r="AA55" s="182"/>
      <c r="AB55" s="221"/>
      <c r="AC55" s="277"/>
      <c r="AD55" s="108"/>
      <c r="AE55" s="108">
        <f t="shared" si="12"/>
        <v>0</v>
      </c>
      <c r="AF55" s="182"/>
      <c r="AG55" s="216"/>
      <c r="AH55" s="202"/>
      <c r="AI55" s="203"/>
      <c r="AJ55" s="108">
        <f t="shared" si="13"/>
        <v>0</v>
      </c>
      <c r="AK55" s="22"/>
      <c r="AL55" s="29">
        <f t="shared" si="10"/>
        <v>0</v>
      </c>
      <c r="AM55" s="35">
        <v>22</v>
      </c>
      <c r="AN55" s="22"/>
      <c r="AR55" s="92"/>
      <c r="AS55" s="2"/>
      <c r="AT55" s="2"/>
      <c r="AU55" s="2"/>
      <c r="AV55" s="2"/>
      <c r="AY55" s="2"/>
      <c r="AZ55" s="2"/>
      <c r="BA55" s="12"/>
      <c r="BB55" s="2"/>
    </row>
    <row r="56" spans="1:54" ht="18.75" x14ac:dyDescent="0.3">
      <c r="A56" s="280"/>
      <c r="B56" s="135"/>
      <c r="C56" s="135"/>
      <c r="D56" s="135"/>
      <c r="E56" s="135"/>
      <c r="F56" s="135"/>
      <c r="G56" s="135"/>
      <c r="H56" s="135"/>
      <c r="I56" s="135"/>
      <c r="J56" s="135"/>
      <c r="K56" s="135"/>
      <c r="L56" s="135"/>
      <c r="M56" s="135"/>
      <c r="N56" s="135"/>
      <c r="O56" s="135"/>
      <c r="P56" s="135"/>
      <c r="Q56" s="124"/>
      <c r="R56" s="135"/>
      <c r="S56" s="124"/>
      <c r="T56" s="124"/>
      <c r="U56" s="124"/>
      <c r="V56" s="124"/>
      <c r="W56" s="135"/>
      <c r="X56" s="182">
        <v>24</v>
      </c>
      <c r="Y56" s="200"/>
      <c r="Z56" s="201"/>
      <c r="AA56" s="182"/>
      <c r="AB56" s="182"/>
      <c r="AC56" s="277"/>
      <c r="AD56" s="108"/>
      <c r="AE56" s="108">
        <f t="shared" si="12"/>
        <v>0</v>
      </c>
      <c r="AF56" s="182"/>
      <c r="AG56" s="182"/>
      <c r="AH56" s="202"/>
      <c r="AI56" s="203"/>
      <c r="AJ56" s="108">
        <f t="shared" si="13"/>
        <v>0</v>
      </c>
      <c r="AK56" s="17"/>
      <c r="AL56" s="29">
        <f t="shared" si="10"/>
        <v>0</v>
      </c>
      <c r="AM56" s="35">
        <v>23</v>
      </c>
      <c r="AN56" s="22"/>
      <c r="AR56" s="2"/>
      <c r="AS56" s="2"/>
      <c r="AT56" s="2"/>
      <c r="AU56" s="2"/>
      <c r="AV56" s="2"/>
      <c r="AY56" s="2"/>
      <c r="AZ56" s="2"/>
      <c r="BA56" s="2"/>
      <c r="BB56" s="2"/>
    </row>
    <row r="57" spans="1:54" ht="18.75" x14ac:dyDescent="0.3">
      <c r="A57" s="280"/>
      <c r="B57" s="135"/>
      <c r="C57" s="135"/>
      <c r="D57" s="135"/>
      <c r="E57" s="135"/>
      <c r="F57" s="135"/>
      <c r="G57" s="135"/>
      <c r="H57" s="135"/>
      <c r="I57" s="135"/>
      <c r="J57" s="135"/>
      <c r="K57" s="135"/>
      <c r="L57" s="135"/>
      <c r="M57" s="135"/>
      <c r="N57" s="135"/>
      <c r="O57" s="135"/>
      <c r="P57" s="135"/>
      <c r="Q57" s="124"/>
      <c r="R57" s="135"/>
      <c r="S57" s="124"/>
      <c r="T57" s="124"/>
      <c r="U57" s="124"/>
      <c r="V57" s="124"/>
      <c r="W57" s="135"/>
      <c r="X57" s="182">
        <v>25</v>
      </c>
      <c r="Y57" s="200"/>
      <c r="Z57" s="201"/>
      <c r="AA57" s="182"/>
      <c r="AB57" s="182"/>
      <c r="AC57" s="277"/>
      <c r="AD57" s="108"/>
      <c r="AE57" s="108">
        <f t="shared" si="12"/>
        <v>0</v>
      </c>
      <c r="AF57" s="182"/>
      <c r="AG57" s="182"/>
      <c r="AH57" s="202"/>
      <c r="AI57" s="203"/>
      <c r="AJ57" s="108">
        <f t="shared" si="13"/>
        <v>0</v>
      </c>
      <c r="AK57" s="22"/>
      <c r="AL57" s="29">
        <f t="shared" si="10"/>
        <v>0</v>
      </c>
      <c r="AM57" s="35">
        <v>24</v>
      </c>
      <c r="AN57" s="36"/>
      <c r="AR57" s="92"/>
      <c r="AS57" s="2"/>
      <c r="AT57" s="2"/>
      <c r="AU57" s="2"/>
      <c r="AV57" s="2"/>
      <c r="AY57" s="2"/>
      <c r="AZ57" s="2"/>
      <c r="BA57" s="2"/>
      <c r="BB57" s="2"/>
    </row>
    <row r="58" spans="1:54" ht="18.75" x14ac:dyDescent="0.3">
      <c r="A58" s="280"/>
      <c r="B58" s="135"/>
      <c r="C58" s="135"/>
      <c r="D58" s="135"/>
      <c r="E58" s="135"/>
      <c r="F58" s="135"/>
      <c r="G58" s="135"/>
      <c r="H58" s="135"/>
      <c r="I58" s="135"/>
      <c r="J58" s="135"/>
      <c r="K58" s="135"/>
      <c r="L58" s="135"/>
      <c r="M58" s="135"/>
      <c r="N58" s="135"/>
      <c r="O58" s="135"/>
      <c r="P58" s="135"/>
      <c r="Q58" s="124"/>
      <c r="R58" s="135"/>
      <c r="S58" s="124"/>
      <c r="T58" s="124"/>
      <c r="U58" s="124"/>
      <c r="V58" s="124"/>
      <c r="W58" s="135"/>
      <c r="X58" s="182">
        <v>26</v>
      </c>
      <c r="Y58" s="200"/>
      <c r="Z58" s="201"/>
      <c r="AA58" s="182"/>
      <c r="AB58" s="182"/>
      <c r="AC58" s="277"/>
      <c r="AD58" s="108"/>
      <c r="AE58" s="108">
        <f t="shared" si="12"/>
        <v>0</v>
      </c>
      <c r="AF58" s="182"/>
      <c r="AG58" s="182"/>
      <c r="AH58" s="202"/>
      <c r="AI58" s="203"/>
      <c r="AJ58" s="108">
        <f t="shared" si="13"/>
        <v>0</v>
      </c>
      <c r="AK58" s="22"/>
      <c r="AL58" s="29">
        <f t="shared" si="10"/>
        <v>0</v>
      </c>
      <c r="AM58" s="35">
        <v>25</v>
      </c>
      <c r="AN58" s="16"/>
      <c r="AR58" s="2"/>
      <c r="AS58" s="2"/>
      <c r="AT58" s="2"/>
      <c r="AU58" s="2"/>
      <c r="AV58" s="2"/>
      <c r="AY58" s="2"/>
      <c r="AZ58" s="2"/>
      <c r="BA58" s="2"/>
      <c r="BB58" s="2"/>
    </row>
    <row r="59" spans="1:54" ht="18.75" x14ac:dyDescent="0.3">
      <c r="A59" s="280"/>
      <c r="B59" s="135"/>
      <c r="C59" s="135"/>
      <c r="D59" s="135"/>
      <c r="E59" s="135"/>
      <c r="F59" s="135"/>
      <c r="G59" s="135"/>
      <c r="H59" s="135"/>
      <c r="I59" s="135"/>
      <c r="J59" s="135"/>
      <c r="K59" s="135"/>
      <c r="L59" s="135"/>
      <c r="M59" s="135"/>
      <c r="N59" s="135"/>
      <c r="O59" s="135"/>
      <c r="P59" s="135"/>
      <c r="Q59" s="124"/>
      <c r="R59" s="135"/>
      <c r="S59" s="124"/>
      <c r="T59" s="124"/>
      <c r="U59" s="124"/>
      <c r="V59" s="124"/>
      <c r="W59" s="135"/>
      <c r="X59" s="182">
        <v>27</v>
      </c>
      <c r="Y59" s="200"/>
      <c r="Z59" s="201"/>
      <c r="AA59" s="182"/>
      <c r="AB59" s="182"/>
      <c r="AC59" s="277"/>
      <c r="AD59" s="108"/>
      <c r="AE59" s="108">
        <f t="shared" si="12"/>
        <v>0</v>
      </c>
      <c r="AF59" s="182"/>
      <c r="AG59" s="182"/>
      <c r="AH59" s="202"/>
      <c r="AI59" s="203"/>
      <c r="AJ59" s="108">
        <f t="shared" si="13"/>
        <v>0</v>
      </c>
      <c r="AK59" s="22"/>
      <c r="AL59" s="29">
        <f t="shared" si="10"/>
        <v>0</v>
      </c>
      <c r="AM59" s="35">
        <v>26</v>
      </c>
      <c r="AN59" s="16"/>
      <c r="AR59" s="2"/>
      <c r="AS59" s="2"/>
      <c r="AT59" s="2"/>
      <c r="AU59" s="2"/>
      <c r="AV59" s="12"/>
      <c r="AY59" s="2"/>
      <c r="AZ59" s="2"/>
      <c r="BA59" s="2"/>
      <c r="BB59" s="2"/>
    </row>
    <row r="60" spans="1:54" ht="18.75" x14ac:dyDescent="0.3">
      <c r="A60" s="280"/>
      <c r="B60" s="135"/>
      <c r="C60" s="135"/>
      <c r="D60" s="135"/>
      <c r="E60" s="135"/>
      <c r="F60" s="135"/>
      <c r="G60" s="135"/>
      <c r="H60" s="135"/>
      <c r="I60" s="135"/>
      <c r="J60" s="135"/>
      <c r="K60" s="135"/>
      <c r="L60" s="135"/>
      <c r="M60" s="135"/>
      <c r="N60" s="135"/>
      <c r="O60" s="135"/>
      <c r="P60" s="135"/>
      <c r="Q60" s="124"/>
      <c r="R60" s="135"/>
      <c r="S60" s="124"/>
      <c r="T60" s="124"/>
      <c r="U60" s="124"/>
      <c r="V60" s="124"/>
      <c r="W60" s="135"/>
      <c r="X60" s="182">
        <v>28</v>
      </c>
      <c r="Y60" s="200"/>
      <c r="Z60" s="201"/>
      <c r="AA60" s="182"/>
      <c r="AB60" s="227"/>
      <c r="AC60" s="277"/>
      <c r="AD60" s="108"/>
      <c r="AE60" s="108">
        <f t="shared" si="12"/>
        <v>0</v>
      </c>
      <c r="AF60" s="182"/>
      <c r="AG60" s="182"/>
      <c r="AH60" s="202"/>
      <c r="AI60" s="203"/>
      <c r="AJ60" s="108">
        <f t="shared" si="13"/>
        <v>0</v>
      </c>
      <c r="AK60" s="22"/>
      <c r="AL60" s="29">
        <f t="shared" si="10"/>
        <v>0</v>
      </c>
      <c r="AM60" s="35">
        <v>27</v>
      </c>
      <c r="AN60" s="16"/>
      <c r="AR60" s="12"/>
      <c r="AS60" s="2"/>
      <c r="AT60" s="2"/>
      <c r="AU60" s="2"/>
      <c r="AV60" s="12"/>
      <c r="AY60" s="2"/>
      <c r="AZ60" s="2"/>
      <c r="BA60" s="2"/>
      <c r="BB60" s="2"/>
    </row>
    <row r="61" spans="1:54" ht="18.75" x14ac:dyDescent="0.3">
      <c r="A61" s="280"/>
      <c r="B61" s="135"/>
      <c r="C61" s="135"/>
      <c r="D61" s="135"/>
      <c r="E61" s="135"/>
      <c r="F61" s="135"/>
      <c r="G61" s="135"/>
      <c r="H61" s="135"/>
      <c r="I61" s="135"/>
      <c r="J61" s="135"/>
      <c r="K61" s="135"/>
      <c r="L61" s="135"/>
      <c r="M61" s="135"/>
      <c r="N61" s="135"/>
      <c r="O61" s="135"/>
      <c r="P61" s="135"/>
      <c r="Q61" s="124"/>
      <c r="R61" s="135"/>
      <c r="S61" s="124"/>
      <c r="T61" s="124"/>
      <c r="U61" s="124"/>
      <c r="V61" s="124"/>
      <c r="W61" s="135"/>
      <c r="X61" s="182">
        <v>29</v>
      </c>
      <c r="Y61" s="223"/>
      <c r="Z61" s="224"/>
      <c r="AA61" s="208"/>
      <c r="AB61" s="208"/>
      <c r="AC61" s="277"/>
      <c r="AD61" s="210"/>
      <c r="AE61" s="108">
        <f t="shared" si="12"/>
        <v>0</v>
      </c>
      <c r="AF61" s="182"/>
      <c r="AG61" s="182"/>
      <c r="AH61" s="282"/>
      <c r="AI61" s="203"/>
      <c r="AJ61" s="108">
        <f t="shared" si="13"/>
        <v>0</v>
      </c>
      <c r="AK61" s="37"/>
      <c r="AL61" s="29">
        <f t="shared" si="10"/>
        <v>0</v>
      </c>
      <c r="AM61" s="35">
        <v>28</v>
      </c>
      <c r="AN61" s="16"/>
      <c r="AR61" s="12"/>
      <c r="AS61" s="2"/>
      <c r="AT61" s="2"/>
      <c r="AU61" s="2"/>
      <c r="AV61" s="12"/>
    </row>
    <row r="62" spans="1:54" ht="18.75" x14ac:dyDescent="0.3">
      <c r="A62" s="280"/>
      <c r="B62" s="135"/>
      <c r="C62" s="135"/>
      <c r="D62" s="135"/>
      <c r="E62" s="135"/>
      <c r="F62" s="135"/>
      <c r="G62" s="135"/>
      <c r="H62" s="135"/>
      <c r="I62" s="135"/>
      <c r="J62" s="135"/>
      <c r="K62" s="135"/>
      <c r="L62" s="135"/>
      <c r="M62" s="135"/>
      <c r="N62" s="135"/>
      <c r="O62" s="135"/>
      <c r="P62" s="135"/>
      <c r="Q62" s="124"/>
      <c r="R62" s="135"/>
      <c r="S62" s="124"/>
      <c r="T62" s="124"/>
      <c r="U62" s="124"/>
      <c r="V62" s="124"/>
      <c r="W62" s="135"/>
      <c r="X62" s="182">
        <v>30</v>
      </c>
      <c r="Y62" s="223"/>
      <c r="Z62" s="224"/>
      <c r="AA62" s="208"/>
      <c r="AB62" s="208"/>
      <c r="AC62" s="277"/>
      <c r="AD62" s="108"/>
      <c r="AE62" s="108">
        <f t="shared" si="12"/>
        <v>0</v>
      </c>
      <c r="AF62" s="182"/>
      <c r="AG62" s="283"/>
      <c r="AH62" s="284"/>
      <c r="AI62" s="285"/>
      <c r="AJ62" s="286">
        <f t="shared" si="13"/>
        <v>0</v>
      </c>
      <c r="AK62" s="17"/>
      <c r="AL62" s="29">
        <f t="shared" si="10"/>
        <v>0</v>
      </c>
      <c r="AM62" s="35">
        <v>29</v>
      </c>
      <c r="AN62" s="16"/>
      <c r="AR62" s="2"/>
      <c r="AS62" s="2"/>
      <c r="AT62" s="2"/>
      <c r="AU62" s="2"/>
      <c r="AV62" s="12"/>
    </row>
    <row r="63" spans="1:54" ht="18.75" x14ac:dyDescent="0.3">
      <c r="A63" s="280"/>
      <c r="B63" s="135"/>
      <c r="C63" s="135"/>
      <c r="D63" s="135"/>
      <c r="E63" s="135"/>
      <c r="F63" s="135"/>
      <c r="G63" s="135"/>
      <c r="H63" s="135"/>
      <c r="I63" s="135"/>
      <c r="J63" s="135"/>
      <c r="K63" s="135"/>
      <c r="L63" s="135"/>
      <c r="M63" s="135"/>
      <c r="N63" s="135"/>
      <c r="O63" s="135"/>
      <c r="P63" s="135"/>
      <c r="Q63" s="124"/>
      <c r="R63" s="135"/>
      <c r="S63" s="124"/>
      <c r="T63" s="124"/>
      <c r="U63" s="124"/>
      <c r="V63" s="124"/>
      <c r="W63" s="135"/>
      <c r="X63" s="24"/>
      <c r="Y63" s="160"/>
      <c r="Z63" s="161"/>
      <c r="AA63" s="24"/>
      <c r="AB63" s="24"/>
      <c r="AC63" s="277">
        <f>SUM(AC33:AC62)</f>
        <v>0</v>
      </c>
      <c r="AD63" s="287"/>
      <c r="AE63" s="163"/>
      <c r="AF63" s="24"/>
      <c r="AG63" s="288"/>
      <c r="AH63" s="289" t="s">
        <v>79</v>
      </c>
      <c r="AI63" s="290"/>
      <c r="AJ63" s="291">
        <f>SUM(AJ3:AJ62)</f>
        <v>0</v>
      </c>
      <c r="AK63" s="22"/>
      <c r="AL63" s="114">
        <f t="shared" si="10"/>
        <v>0</v>
      </c>
      <c r="AM63" s="35">
        <v>30</v>
      </c>
      <c r="AN63" s="16"/>
      <c r="AR63" s="2"/>
      <c r="AS63" s="2"/>
      <c r="AT63" s="2"/>
      <c r="AU63" s="2"/>
      <c r="AV63" s="12"/>
    </row>
    <row r="64" spans="1:54" ht="18.75" x14ac:dyDescent="0.3">
      <c r="A64" s="280"/>
      <c r="B64" s="135"/>
      <c r="C64" s="135"/>
      <c r="D64" s="135"/>
      <c r="E64" s="135"/>
      <c r="F64" s="135"/>
      <c r="G64" s="135"/>
      <c r="H64" s="135"/>
      <c r="I64" s="135"/>
      <c r="J64" s="135"/>
      <c r="K64" s="135"/>
      <c r="L64" s="135"/>
      <c r="M64" s="135"/>
      <c r="N64" s="135"/>
      <c r="O64" s="135"/>
      <c r="P64" s="135"/>
      <c r="Q64" s="124"/>
      <c r="R64" s="135"/>
      <c r="S64" s="124"/>
      <c r="T64" s="124"/>
      <c r="U64" s="124"/>
      <c r="V64" s="124"/>
      <c r="W64" s="135"/>
      <c r="X64" s="24"/>
      <c r="Y64" s="292"/>
      <c r="Z64" s="293"/>
      <c r="AA64" s="32"/>
      <c r="AB64" s="294"/>
      <c r="AC64" s="295" t="s">
        <v>16</v>
      </c>
      <c r="AD64" s="296">
        <f>SUM(AD33:AD63)</f>
        <v>0</v>
      </c>
      <c r="AE64" s="163"/>
      <c r="AF64" s="24"/>
      <c r="AG64" s="24"/>
      <c r="AH64" s="297"/>
      <c r="AI64" s="165"/>
      <c r="AJ64" s="163"/>
      <c r="AK64" s="22"/>
      <c r="AL64" s="29">
        <f t="shared" si="10"/>
        <v>0</v>
      </c>
      <c r="AM64" s="115"/>
      <c r="AN64" s="36"/>
      <c r="AR64" s="2"/>
      <c r="AS64" s="2"/>
      <c r="AT64" s="2"/>
      <c r="AU64" s="2"/>
      <c r="AV64" s="12"/>
    </row>
    <row r="65" spans="1:55" ht="18.75" x14ac:dyDescent="0.3">
      <c r="A65" s="280"/>
      <c r="B65" s="135"/>
      <c r="C65" s="135"/>
      <c r="D65" s="135"/>
      <c r="E65" s="135"/>
      <c r="F65" s="135"/>
      <c r="G65" s="135"/>
      <c r="H65" s="135"/>
      <c r="I65" s="135"/>
      <c r="J65" s="135"/>
      <c r="K65" s="135"/>
      <c r="L65" s="135"/>
      <c r="M65" s="135"/>
      <c r="N65" s="135"/>
      <c r="O65" s="135"/>
      <c r="P65" s="135"/>
      <c r="Q65" s="124"/>
      <c r="R65" s="135"/>
      <c r="S65" s="124"/>
      <c r="T65" s="124"/>
      <c r="U65" s="124"/>
      <c r="V65" s="124"/>
      <c r="W65" s="135"/>
      <c r="X65" s="24"/>
      <c r="Y65" s="160"/>
      <c r="Z65" s="161"/>
      <c r="AA65" s="24"/>
      <c r="AB65" s="24"/>
      <c r="AC65" s="163"/>
      <c r="AD65" s="163"/>
      <c r="AE65" s="163"/>
      <c r="AF65" s="24"/>
      <c r="AG65" s="24"/>
      <c r="AH65" s="297"/>
      <c r="AI65" s="165"/>
      <c r="AJ65" s="163"/>
      <c r="AK65" s="22"/>
      <c r="AL65" s="16"/>
      <c r="AM65" s="40"/>
      <c r="AN65" s="16"/>
      <c r="AR65" s="2"/>
      <c r="AS65" s="2"/>
      <c r="AT65" s="2"/>
      <c r="AU65" s="2"/>
      <c r="AV65" s="2"/>
    </row>
    <row r="66" spans="1:55" ht="18.75" x14ac:dyDescent="0.3">
      <c r="A66" s="280"/>
      <c r="B66" s="135"/>
      <c r="C66" s="135"/>
      <c r="D66" s="135"/>
      <c r="E66" s="135"/>
      <c r="F66" s="135"/>
      <c r="G66" s="135"/>
      <c r="H66" s="135"/>
      <c r="I66" s="135"/>
      <c r="J66" s="135"/>
      <c r="K66" s="135"/>
      <c r="L66" s="135"/>
      <c r="M66" s="135"/>
      <c r="N66" s="135"/>
      <c r="O66" s="135"/>
      <c r="P66" s="135"/>
      <c r="Q66" s="124"/>
      <c r="R66" s="135"/>
      <c r="S66" s="124"/>
      <c r="T66" s="124"/>
      <c r="U66" s="124"/>
      <c r="V66" s="124"/>
      <c r="W66" s="135"/>
      <c r="X66" s="24"/>
      <c r="Y66" s="160"/>
      <c r="Z66" s="161"/>
      <c r="AA66" s="24"/>
      <c r="AB66" s="24"/>
      <c r="AC66" s="163"/>
      <c r="AD66" s="163"/>
      <c r="AE66" s="163"/>
      <c r="AF66" s="24"/>
      <c r="AG66" s="24"/>
      <c r="AH66" s="297"/>
      <c r="AI66" s="202" t="s">
        <v>76</v>
      </c>
      <c r="AJ66" s="163"/>
      <c r="AK66" s="22"/>
      <c r="AL66" s="16"/>
      <c r="AM66" s="40"/>
      <c r="AN66" s="16"/>
      <c r="AR66" s="2"/>
      <c r="AS66" s="2"/>
      <c r="AT66" s="2"/>
      <c r="AU66" s="2"/>
      <c r="AV66" s="2"/>
    </row>
    <row r="67" spans="1:55" ht="18.75" x14ac:dyDescent="0.3">
      <c r="A67" s="280"/>
      <c r="B67" s="135"/>
      <c r="C67" s="135"/>
      <c r="D67" s="135"/>
      <c r="E67" s="135"/>
      <c r="F67" s="135"/>
      <c r="G67" s="135"/>
      <c r="H67" s="135"/>
      <c r="I67" s="135"/>
      <c r="J67" s="135"/>
      <c r="K67" s="135"/>
      <c r="L67" s="135"/>
      <c r="M67" s="135"/>
      <c r="N67" s="135"/>
      <c r="O67" s="135"/>
      <c r="P67" s="135"/>
      <c r="Q67" s="124"/>
      <c r="R67" s="135"/>
      <c r="S67" s="124"/>
      <c r="T67" s="124"/>
      <c r="U67" s="124"/>
      <c r="V67" s="124"/>
      <c r="W67" s="135"/>
      <c r="X67" s="24"/>
      <c r="Y67" s="160"/>
      <c r="Z67" s="161"/>
      <c r="AA67" s="24"/>
      <c r="AB67" s="24"/>
      <c r="AC67" s="231" t="s">
        <v>16</v>
      </c>
      <c r="AD67" s="231">
        <f>AD30</f>
        <v>0</v>
      </c>
      <c r="AE67" s="163"/>
      <c r="AF67" s="24"/>
      <c r="AG67" s="24"/>
      <c r="AH67" s="297"/>
      <c r="AI67" s="202" t="s">
        <v>80</v>
      </c>
      <c r="AJ67" s="291">
        <f>AJ63</f>
        <v>0</v>
      </c>
      <c r="AK67" s="22"/>
      <c r="AL67" s="16"/>
      <c r="AM67" s="40"/>
      <c r="AN67" s="16"/>
      <c r="AR67" s="2"/>
      <c r="AS67" s="2"/>
      <c r="AT67" s="2"/>
      <c r="AU67" s="2"/>
      <c r="AV67" s="2"/>
    </row>
    <row r="68" spans="1:55" ht="18.75" x14ac:dyDescent="0.3">
      <c r="A68" s="280"/>
      <c r="B68" s="135"/>
      <c r="C68" s="135"/>
      <c r="D68" s="135"/>
      <c r="E68" s="135"/>
      <c r="F68" s="135"/>
      <c r="G68" s="135"/>
      <c r="H68" s="135"/>
      <c r="I68" s="135"/>
      <c r="J68" s="135"/>
      <c r="K68" s="135"/>
      <c r="L68" s="135"/>
      <c r="M68" s="135"/>
      <c r="N68" s="135"/>
      <c r="O68" s="135"/>
      <c r="P68" s="135"/>
      <c r="Q68" s="124"/>
      <c r="R68" s="135"/>
      <c r="S68" s="124"/>
      <c r="T68" s="124"/>
      <c r="U68" s="124"/>
      <c r="V68" s="124"/>
      <c r="W68" s="135"/>
      <c r="X68" s="24"/>
      <c r="Y68" s="160"/>
      <c r="Z68" s="161"/>
      <c r="AA68" s="24"/>
      <c r="AB68" s="24"/>
      <c r="AC68" s="295" t="s">
        <v>16</v>
      </c>
      <c r="AD68" s="296">
        <f>AD64</f>
        <v>0</v>
      </c>
      <c r="AE68" s="163"/>
      <c r="AF68" s="24"/>
      <c r="AG68" s="24"/>
      <c r="AH68" s="297"/>
      <c r="AI68" s="298" t="s">
        <v>32</v>
      </c>
      <c r="AJ68" s="295">
        <f>'[1]avril 2026'!AL73</f>
        <v>0</v>
      </c>
      <c r="AK68" s="22"/>
      <c r="AL68" s="16"/>
      <c r="AM68" s="40"/>
      <c r="AN68" s="16"/>
      <c r="AR68" s="2"/>
      <c r="AS68" s="2"/>
      <c r="AT68" s="2"/>
      <c r="AU68" s="2"/>
      <c r="AV68" s="2"/>
      <c r="BC68" s="20"/>
    </row>
    <row r="69" spans="1:55" ht="18.75" x14ac:dyDescent="0.3">
      <c r="A69" s="280"/>
      <c r="B69" s="135"/>
      <c r="C69" s="135"/>
      <c r="D69" s="135"/>
      <c r="E69" s="135"/>
      <c r="F69" s="135"/>
      <c r="G69" s="135"/>
      <c r="H69" s="135"/>
      <c r="I69" s="135"/>
      <c r="J69" s="135"/>
      <c r="K69" s="135"/>
      <c r="L69" s="135"/>
      <c r="M69" s="135"/>
      <c r="N69" s="135"/>
      <c r="O69" s="135"/>
      <c r="P69" s="135"/>
      <c r="Q69" s="124"/>
      <c r="R69" s="135"/>
      <c r="S69" s="124"/>
      <c r="T69" s="124"/>
      <c r="U69" s="124"/>
      <c r="V69" s="124"/>
      <c r="W69" s="135"/>
      <c r="X69" s="24"/>
      <c r="Y69" s="160"/>
      <c r="Z69" s="161"/>
      <c r="AA69" s="24"/>
      <c r="AB69" s="24"/>
      <c r="AC69" s="299" t="s">
        <v>74</v>
      </c>
      <c r="AD69" s="299">
        <f>SUM(AD67:AD68)</f>
        <v>0</v>
      </c>
      <c r="AE69" s="163"/>
      <c r="AF69" s="24"/>
      <c r="AG69" s="24"/>
      <c r="AH69" s="297"/>
      <c r="AI69" s="298" t="s">
        <v>33</v>
      </c>
      <c r="AJ69" s="300">
        <f>SUM(AJ67:AJ68)</f>
        <v>0</v>
      </c>
      <c r="AK69" s="22"/>
      <c r="AL69" s="16"/>
      <c r="AM69" s="40"/>
      <c r="AN69" s="16"/>
      <c r="AR69" s="2"/>
      <c r="AS69" s="2"/>
      <c r="AT69" s="2"/>
      <c r="AU69" s="2"/>
      <c r="AV69" s="2"/>
      <c r="BC69" s="20"/>
    </row>
    <row r="70" spans="1:55" ht="18.75" x14ac:dyDescent="0.3">
      <c r="A70" s="280"/>
      <c r="B70" s="135"/>
      <c r="C70" s="135"/>
      <c r="D70" s="135"/>
      <c r="E70" s="135"/>
      <c r="F70" s="135"/>
      <c r="G70" s="135"/>
      <c r="H70" s="135"/>
      <c r="I70" s="135"/>
      <c r="J70" s="135"/>
      <c r="K70" s="135"/>
      <c r="L70" s="135"/>
      <c r="M70" s="135"/>
      <c r="N70" s="135"/>
      <c r="O70" s="135"/>
      <c r="P70" s="135"/>
      <c r="Q70" s="124"/>
      <c r="R70" s="135"/>
      <c r="S70" s="124"/>
      <c r="T70" s="124"/>
      <c r="U70" s="124"/>
      <c r="V70" s="124"/>
      <c r="W70" s="135"/>
      <c r="X70" s="24"/>
      <c r="Y70" s="160"/>
      <c r="Z70" s="161"/>
      <c r="AA70" s="24"/>
      <c r="AB70" s="23"/>
      <c r="AC70" s="163"/>
      <c r="AD70" s="163"/>
      <c r="AE70" s="163"/>
      <c r="AF70" s="24"/>
      <c r="AG70" s="24"/>
      <c r="AH70" s="297"/>
      <c r="AI70" s="165"/>
      <c r="AJ70" s="163"/>
      <c r="AK70" s="17"/>
      <c r="AL70" s="16"/>
      <c r="AM70" s="39"/>
      <c r="AN70" s="22"/>
      <c r="AR70" s="2"/>
      <c r="AS70" s="2"/>
      <c r="AT70" s="2"/>
      <c r="AU70" s="2"/>
      <c r="AV70" s="2"/>
    </row>
    <row r="71" spans="1:55" ht="18.75" x14ac:dyDescent="0.3">
      <c r="A71" s="1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X71" s="16"/>
      <c r="Y71" s="45"/>
      <c r="Z71" s="46"/>
      <c r="AA71" s="47"/>
      <c r="AB71" s="47"/>
      <c r="AC71" s="48"/>
      <c r="AD71" s="48"/>
      <c r="AE71" s="19"/>
      <c r="AF71" s="20"/>
      <c r="AG71" s="20"/>
      <c r="AH71" s="43"/>
      <c r="AK71" s="17"/>
      <c r="AL71" s="16"/>
      <c r="AM71" s="39"/>
      <c r="AN71" s="22"/>
      <c r="BA71" s="7"/>
    </row>
    <row r="72" spans="1:55" ht="18.75" x14ac:dyDescent="0.3">
      <c r="A72" s="1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X72" s="16"/>
      <c r="Y72" s="45"/>
      <c r="Z72" s="46"/>
      <c r="AA72" s="47"/>
      <c r="AB72" s="47"/>
      <c r="AC72" s="19"/>
      <c r="AD72" s="19"/>
      <c r="AE72" s="19"/>
      <c r="AF72" s="20"/>
      <c r="AG72" s="20"/>
      <c r="AH72" s="43"/>
      <c r="AK72" s="17"/>
      <c r="AL72" s="16"/>
      <c r="AM72" s="39"/>
      <c r="AN72" s="22"/>
      <c r="AY72" s="7"/>
      <c r="BA72" s="7"/>
    </row>
    <row r="73" spans="1:55" ht="18.75" x14ac:dyDescent="0.3">
      <c r="A73" s="1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X73" s="16"/>
      <c r="Y73" s="41"/>
      <c r="Z73" s="42"/>
      <c r="AA73" s="20"/>
      <c r="AB73" s="20"/>
      <c r="AC73" s="19"/>
      <c r="AD73" s="19"/>
      <c r="AE73" s="19"/>
      <c r="AF73" s="20"/>
      <c r="AG73" s="20"/>
      <c r="AH73" s="49"/>
      <c r="AK73" s="17"/>
      <c r="AL73" s="16"/>
      <c r="AM73" s="40" t="s">
        <v>34</v>
      </c>
      <c r="AN73" s="16"/>
      <c r="AY73" s="7"/>
      <c r="BA73" s="7"/>
    </row>
    <row r="74" spans="1:55" x14ac:dyDescent="0.2">
      <c r="A74" s="1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AY74" s="2"/>
    </row>
    <row r="75" spans="1:55" x14ac:dyDescent="0.2">
      <c r="A75" s="1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AR75" s="2"/>
      <c r="AS75" s="2"/>
      <c r="AT75" s="2"/>
      <c r="AU75" s="2"/>
      <c r="AV75" s="2"/>
      <c r="AY75" s="2"/>
      <c r="AZ75" s="2"/>
      <c r="BA75" s="2"/>
      <c r="BB75" s="2"/>
    </row>
    <row r="76" spans="1:55" x14ac:dyDescent="0.2">
      <c r="A76" s="1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AR76" s="92"/>
      <c r="AS76" s="11"/>
      <c r="AT76" s="11"/>
      <c r="AU76" s="11"/>
      <c r="AV76" s="2"/>
      <c r="AY76" s="2"/>
      <c r="AZ76" s="2"/>
      <c r="BA76" s="12"/>
      <c r="BB76" s="2"/>
    </row>
    <row r="77" spans="1:55" x14ac:dyDescent="0.2">
      <c r="A77" s="12"/>
      <c r="B77" s="2"/>
      <c r="L77" s="2"/>
      <c r="M77" s="2"/>
      <c r="N77" s="2"/>
      <c r="O77" s="2"/>
      <c r="AR77" s="92"/>
      <c r="AS77" s="11"/>
      <c r="AT77" s="11"/>
      <c r="AU77" s="11"/>
      <c r="AV77" s="2"/>
      <c r="AY77" s="12"/>
      <c r="AZ77" s="2"/>
      <c r="BA77" s="12"/>
      <c r="BB77" s="2"/>
    </row>
    <row r="78" spans="1:55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AR78" s="92"/>
      <c r="AS78" s="11"/>
      <c r="AT78" s="11"/>
      <c r="AU78" s="11"/>
      <c r="AV78" s="2"/>
      <c r="AY78" s="12"/>
      <c r="AZ78" s="2"/>
      <c r="BA78" s="12"/>
      <c r="BB78" s="2"/>
    </row>
    <row r="79" spans="1:55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AR79" s="92"/>
      <c r="AS79" s="2"/>
      <c r="AT79" s="2"/>
      <c r="AU79" s="2"/>
      <c r="AV79" s="2"/>
      <c r="AY79" s="2"/>
      <c r="AZ79" s="2"/>
      <c r="BA79" s="12"/>
      <c r="BB79" s="2"/>
    </row>
    <row r="80" spans="1:55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AR80" s="2"/>
      <c r="AS80" s="11"/>
      <c r="AT80" s="11"/>
      <c r="AU80" s="11"/>
      <c r="AV80" s="2"/>
      <c r="AY80" s="2"/>
      <c r="AZ80" s="2"/>
      <c r="BA80" s="2"/>
      <c r="BB80" s="2"/>
    </row>
    <row r="81" spans="1:54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AR81" s="92"/>
      <c r="AS81" s="2"/>
      <c r="AT81" s="2"/>
      <c r="AU81" s="2"/>
      <c r="AV81" s="2"/>
      <c r="AY81" s="2"/>
      <c r="AZ81" s="2"/>
      <c r="BA81" s="2"/>
      <c r="BB81" s="2"/>
    </row>
    <row r="82" spans="1:54" x14ac:dyDescent="0.2">
      <c r="A82" s="2"/>
      <c r="B82" s="2"/>
      <c r="C82" s="2"/>
      <c r="D82" s="2"/>
      <c r="E82" s="2"/>
      <c r="F82" s="2"/>
      <c r="G82" s="2"/>
      <c r="H82" s="2"/>
      <c r="I82" s="2"/>
      <c r="J82" s="13"/>
      <c r="K82" s="2"/>
      <c r="L82" s="2"/>
      <c r="M82" s="2"/>
      <c r="N82" s="2"/>
      <c r="O82" s="2"/>
      <c r="P82" s="2"/>
      <c r="AR82" s="2"/>
      <c r="AS82" s="2"/>
      <c r="AT82" s="2"/>
      <c r="AU82" s="2"/>
      <c r="AV82" s="2"/>
      <c r="AY82" s="2"/>
      <c r="AZ82" s="2"/>
      <c r="BA82" s="2"/>
      <c r="BB82" s="2"/>
    </row>
    <row r="83" spans="1:54" x14ac:dyDescent="0.2">
      <c r="J83" s="13"/>
      <c r="K83" s="2"/>
      <c r="AR83" s="2"/>
      <c r="AS83" s="2"/>
      <c r="AT83" s="2"/>
      <c r="AU83" s="2"/>
      <c r="AV83" s="12"/>
      <c r="AY83" s="2"/>
      <c r="AZ83" s="2"/>
      <c r="BA83" s="2"/>
      <c r="BB83" s="2"/>
    </row>
    <row r="84" spans="1:54" x14ac:dyDescent="0.2">
      <c r="AR84" s="12"/>
      <c r="AS84" s="2"/>
      <c r="AT84" s="2"/>
      <c r="AU84" s="2"/>
      <c r="AV84" s="12"/>
      <c r="AY84" s="2"/>
      <c r="AZ84" s="2"/>
      <c r="BA84" s="2"/>
      <c r="BB84" s="2"/>
    </row>
    <row r="85" spans="1:54" x14ac:dyDescent="0.2">
      <c r="A85" s="2"/>
      <c r="B85" s="2"/>
      <c r="AR85" s="12"/>
      <c r="AS85" s="2"/>
      <c r="AT85" s="2"/>
      <c r="AU85" s="2"/>
      <c r="AV85" s="12"/>
    </row>
    <row r="86" spans="1:54" x14ac:dyDescent="0.2">
      <c r="A86" s="2"/>
      <c r="B86" s="2"/>
      <c r="C86" s="2"/>
      <c r="D86" s="2"/>
      <c r="E86" s="2"/>
      <c r="F86" s="6"/>
      <c r="I86" s="6"/>
      <c r="AR86" s="2"/>
      <c r="AS86" s="2"/>
      <c r="AT86" s="2"/>
      <c r="AU86" s="2"/>
      <c r="AV86" s="12"/>
    </row>
    <row r="87" spans="1:54" x14ac:dyDescent="0.2">
      <c r="C87" s="5"/>
      <c r="F87" s="6"/>
      <c r="AR87" s="2"/>
      <c r="AS87" s="2"/>
      <c r="AT87" s="2"/>
      <c r="AU87" s="2"/>
      <c r="AV87" s="12"/>
    </row>
    <row r="88" spans="1:54" x14ac:dyDescent="0.2">
      <c r="C88" s="5"/>
      <c r="AR88" s="2"/>
      <c r="AS88" s="2"/>
      <c r="AT88" s="2"/>
      <c r="AU88" s="2"/>
      <c r="AV88" s="12"/>
    </row>
    <row r="89" spans="1:54" x14ac:dyDescent="0.2">
      <c r="C89" s="5"/>
      <c r="AR89" s="2"/>
      <c r="AS89" s="2"/>
      <c r="AT89" s="2"/>
      <c r="AU89" s="2"/>
      <c r="AV89" s="2"/>
    </row>
    <row r="90" spans="1:54" x14ac:dyDescent="0.2">
      <c r="C90" s="5"/>
      <c r="AR90" s="2"/>
      <c r="AS90" s="2"/>
      <c r="AT90" s="2"/>
      <c r="AU90" s="2"/>
      <c r="AV90" s="2"/>
    </row>
    <row r="91" spans="1:54" x14ac:dyDescent="0.2">
      <c r="C91" s="5"/>
      <c r="AR91" s="2"/>
      <c r="AS91" s="2"/>
      <c r="AT91" s="2"/>
      <c r="AU91" s="2"/>
      <c r="AV91" s="2"/>
    </row>
    <row r="92" spans="1:54" x14ac:dyDescent="0.2">
      <c r="C92" s="5"/>
      <c r="AR92" s="2"/>
      <c r="AS92" s="2"/>
      <c r="AT92" s="2"/>
      <c r="AU92" s="2"/>
      <c r="AV92" s="2"/>
    </row>
    <row r="93" spans="1:54" x14ac:dyDescent="0.2">
      <c r="C93" s="5"/>
      <c r="AR93" s="2"/>
      <c r="AS93" s="2"/>
      <c r="AT93" s="2"/>
      <c r="AU93" s="2"/>
      <c r="AV93" s="2"/>
    </row>
    <row r="94" spans="1:54" x14ac:dyDescent="0.2">
      <c r="C94" s="5"/>
      <c r="AR94" s="2"/>
      <c r="AS94" s="11"/>
      <c r="AT94" s="11"/>
      <c r="AU94" s="11"/>
      <c r="AV94" s="2"/>
    </row>
    <row r="95" spans="1:54" x14ac:dyDescent="0.2">
      <c r="C95" s="5"/>
    </row>
    <row r="96" spans="1:54" x14ac:dyDescent="0.2">
      <c r="C96" s="5"/>
    </row>
    <row r="97" spans="3:3" x14ac:dyDescent="0.2">
      <c r="C97" s="5"/>
    </row>
    <row r="98" spans="3:3" x14ac:dyDescent="0.2">
      <c r="C98" s="5"/>
    </row>
    <row r="99" spans="3:3" x14ac:dyDescent="0.2">
      <c r="C99" s="5"/>
    </row>
    <row r="100" spans="3:3" x14ac:dyDescent="0.2">
      <c r="C100" s="5"/>
    </row>
    <row r="101" spans="3:3" x14ac:dyDescent="0.2">
      <c r="C101" s="5"/>
    </row>
    <row r="102" spans="3:3" x14ac:dyDescent="0.2">
      <c r="C102" s="5"/>
    </row>
    <row r="103" spans="3:3" x14ac:dyDescent="0.2">
      <c r="C103" s="5"/>
    </row>
    <row r="104" spans="3:3" x14ac:dyDescent="0.2">
      <c r="C104" s="5"/>
    </row>
    <row r="105" spans="3:3" x14ac:dyDescent="0.2">
      <c r="C105" s="5"/>
    </row>
    <row r="106" spans="3:3" x14ac:dyDescent="0.2">
      <c r="C106" s="5"/>
    </row>
    <row r="107" spans="3:3" x14ac:dyDescent="0.2">
      <c r="C107" s="5"/>
    </row>
    <row r="108" spans="3:3" x14ac:dyDescent="0.2">
      <c r="C108" s="5"/>
    </row>
    <row r="109" spans="3:3" x14ac:dyDescent="0.2">
      <c r="C109" s="5"/>
    </row>
    <row r="110" spans="3:3" x14ac:dyDescent="0.2">
      <c r="C110" s="5"/>
    </row>
    <row r="111" spans="3:3" x14ac:dyDescent="0.2">
      <c r="C111" s="5"/>
    </row>
    <row r="112" spans="3:3" x14ac:dyDescent="0.2">
      <c r="C112" s="5"/>
    </row>
    <row r="113" spans="3:3" x14ac:dyDescent="0.2">
      <c r="C113" s="5"/>
    </row>
    <row r="114" spans="3:3" x14ac:dyDescent="0.2">
      <c r="C114" s="5"/>
    </row>
    <row r="115" spans="3:3" x14ac:dyDescent="0.2">
      <c r="C115" s="5"/>
    </row>
    <row r="116" spans="3:3" x14ac:dyDescent="0.2">
      <c r="C116" s="5"/>
    </row>
    <row r="117" spans="3:3" x14ac:dyDescent="0.2">
      <c r="C117" s="5"/>
    </row>
  </sheetData>
  <sortState xmlns:xlrd2="http://schemas.microsoft.com/office/spreadsheetml/2017/richdata2" ref="Y33:AJ45">
    <sortCondition ref="Y33"/>
  </sortState>
  <pageMargins left="0.25" right="0.25" top="0.75" bottom="0.75" header="0.3" footer="0.3"/>
  <pageSetup paperSize="9" scale="83" fitToHeight="0" orientation="landscape" horizontalDpi="4294967292" verticalDpi="4294967292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published="0" codeName="Feuil9"/>
  <dimension ref="B1:P105"/>
  <sheetViews>
    <sheetView view="pageLayout" topLeftCell="A88" workbookViewId="0">
      <selection activeCell="E89" sqref="E89"/>
    </sheetView>
  </sheetViews>
  <sheetFormatPr baseColWidth="10" defaultColWidth="11" defaultRowHeight="12.75" x14ac:dyDescent="0.2"/>
  <cols>
    <col min="1" max="1" width="0.875" customWidth="1"/>
    <col min="2" max="2" width="1.375" customWidth="1"/>
    <col min="3" max="3" width="10.625" bestFit="1" customWidth="1"/>
    <col min="4" max="4" width="9.25" style="332" customWidth="1"/>
    <col min="5" max="5" width="8.875" style="332" customWidth="1"/>
    <col min="6" max="6" width="8.5" style="332" customWidth="1"/>
    <col min="7" max="7" width="6.875" customWidth="1"/>
    <col min="8" max="8" width="1.25" customWidth="1"/>
    <col min="9" max="9" width="0.875" customWidth="1"/>
    <col min="10" max="10" width="13.125" customWidth="1"/>
    <col min="11" max="11" width="8.5" customWidth="1"/>
    <col min="12" max="12" width="8.25" customWidth="1"/>
    <col min="14" max="14" width="3.125" customWidth="1"/>
    <col min="15" max="15" width="12.875" bestFit="1" customWidth="1"/>
  </cols>
  <sheetData>
    <row r="1" spans="2:16" ht="13.5" thickBot="1" x14ac:dyDescent="0.25">
      <c r="C1" s="119" t="s">
        <v>16</v>
      </c>
      <c r="J1" s="119" t="s">
        <v>78</v>
      </c>
    </row>
    <row r="2" spans="2:16" ht="15" x14ac:dyDescent="0.25">
      <c r="B2" s="50"/>
      <c r="C2" s="100"/>
      <c r="D2" s="333"/>
      <c r="E2" s="333"/>
      <c r="F2" s="333"/>
      <c r="G2" s="51"/>
      <c r="H2" s="52"/>
      <c r="J2" s="14" t="s">
        <v>35</v>
      </c>
      <c r="K2" s="54"/>
      <c r="L2" s="54"/>
      <c r="M2" s="55"/>
      <c r="O2" s="56" t="s">
        <v>36</v>
      </c>
      <c r="P2" s="3" t="s">
        <v>16</v>
      </c>
    </row>
    <row r="3" spans="2:16" ht="15" x14ac:dyDescent="0.25">
      <c r="B3" s="57"/>
      <c r="C3" s="58" t="s">
        <v>37</v>
      </c>
      <c r="D3" s="334" t="s">
        <v>38</v>
      </c>
      <c r="E3" s="334" t="s">
        <v>77</v>
      </c>
      <c r="F3" s="334" t="s">
        <v>40</v>
      </c>
      <c r="G3" s="59"/>
      <c r="H3" s="60"/>
      <c r="J3" s="61" t="s">
        <v>41</v>
      </c>
      <c r="K3" s="9" t="s">
        <v>42</v>
      </c>
      <c r="L3" s="2"/>
      <c r="M3" s="62"/>
      <c r="O3" s="56" t="s">
        <v>43</v>
      </c>
      <c r="P3" s="3" t="s">
        <v>44</v>
      </c>
    </row>
    <row r="4" spans="2:16" ht="15" x14ac:dyDescent="0.25">
      <c r="B4" s="57"/>
      <c r="C4" s="63">
        <v>46023</v>
      </c>
      <c r="D4" s="64">
        <f>'JANV 2026'!F36</f>
        <v>0</v>
      </c>
      <c r="E4" s="65">
        <f>'JANV 2026'!AD69</f>
        <v>0</v>
      </c>
      <c r="F4" s="66">
        <f>SUM(D4-E4)</f>
        <v>0</v>
      </c>
      <c r="G4" s="59"/>
      <c r="H4" s="60"/>
      <c r="J4" s="67"/>
      <c r="K4" s="3"/>
      <c r="L4" s="68"/>
      <c r="M4" s="62"/>
    </row>
    <row r="5" spans="2:16" ht="15" x14ac:dyDescent="0.25">
      <c r="B5" s="57"/>
      <c r="C5" s="63">
        <v>46054</v>
      </c>
      <c r="D5" s="64">
        <f>'FEVRIER 2026'!F36</f>
        <v>0</v>
      </c>
      <c r="E5" s="65">
        <f>'FEVRIER 2026'!AD69</f>
        <v>0</v>
      </c>
      <c r="F5" s="66">
        <f t="shared" ref="F5:F6" si="0">SUM(D5-E5)</f>
        <v>0</v>
      </c>
      <c r="G5" s="59"/>
      <c r="H5" s="60"/>
      <c r="J5" s="69"/>
      <c r="K5" s="3"/>
      <c r="L5" s="68"/>
      <c r="M5" s="62"/>
    </row>
    <row r="6" spans="2:16" ht="15" x14ac:dyDescent="0.25">
      <c r="B6" s="57"/>
      <c r="C6" s="63">
        <v>46082</v>
      </c>
      <c r="D6" s="64">
        <f>'MARS 2026'!F36</f>
        <v>0</v>
      </c>
      <c r="E6" s="65">
        <f>'MARS 2026'!AD69</f>
        <v>0</v>
      </c>
      <c r="F6" s="66">
        <f t="shared" si="0"/>
        <v>0</v>
      </c>
      <c r="G6" s="59"/>
      <c r="H6" s="60"/>
      <c r="J6" s="69"/>
      <c r="K6" s="3"/>
      <c r="L6" s="68"/>
      <c r="M6" s="62"/>
    </row>
    <row r="7" spans="2:16" ht="15" x14ac:dyDescent="0.25">
      <c r="B7" s="57"/>
      <c r="C7" s="70"/>
      <c r="D7" s="71"/>
      <c r="E7" s="71"/>
      <c r="F7" s="71"/>
      <c r="G7" s="59"/>
      <c r="H7" s="60"/>
      <c r="J7" s="67"/>
      <c r="K7" s="3"/>
      <c r="L7" s="68"/>
      <c r="M7" s="62"/>
    </row>
    <row r="8" spans="2:16" ht="15" x14ac:dyDescent="0.25">
      <c r="B8" s="57"/>
      <c r="C8" s="59"/>
      <c r="D8" s="64">
        <f>SUM(D4:D7)</f>
        <v>0</v>
      </c>
      <c r="E8" s="65">
        <f>SUM(E4:E6)</f>
        <v>0</v>
      </c>
      <c r="F8" s="66">
        <f>SUM(F4:F7)</f>
        <v>0</v>
      </c>
      <c r="G8" s="59"/>
      <c r="H8" s="60"/>
      <c r="J8" s="67"/>
      <c r="K8" s="3"/>
      <c r="L8" s="3"/>
      <c r="M8" s="62"/>
    </row>
    <row r="9" spans="2:16" ht="15" x14ac:dyDescent="0.25">
      <c r="B9" s="57"/>
      <c r="C9" s="70"/>
      <c r="D9" s="71"/>
      <c r="E9" s="71"/>
      <c r="F9" s="71"/>
      <c r="G9" s="59"/>
      <c r="H9" s="60"/>
      <c r="J9" s="67"/>
      <c r="K9" s="9"/>
      <c r="L9" s="3"/>
      <c r="M9" s="62"/>
    </row>
    <row r="10" spans="2:16" ht="15" x14ac:dyDescent="0.25">
      <c r="B10" s="57"/>
      <c r="C10" s="59"/>
      <c r="D10" s="71"/>
      <c r="E10" s="71"/>
      <c r="F10" s="71"/>
      <c r="G10" s="59"/>
      <c r="H10" s="60"/>
      <c r="J10" s="61" t="s">
        <v>45</v>
      </c>
      <c r="K10" s="3">
        <f>SUM(K4:K9)</f>
        <v>0</v>
      </c>
      <c r="L10" s="2"/>
      <c r="M10" s="62"/>
    </row>
    <row r="11" spans="2:16" ht="15" x14ac:dyDescent="0.25">
      <c r="B11" s="57"/>
      <c r="C11" s="72" t="s">
        <v>46</v>
      </c>
      <c r="D11" s="335"/>
      <c r="E11" s="336"/>
      <c r="F11" s="334" t="s">
        <v>47</v>
      </c>
      <c r="G11" s="73"/>
      <c r="H11" s="60"/>
      <c r="J11" s="67"/>
      <c r="K11" s="2"/>
      <c r="L11" s="2"/>
      <c r="M11" s="62"/>
    </row>
    <row r="12" spans="2:16" ht="15" x14ac:dyDescent="0.25">
      <c r="B12" s="57"/>
      <c r="C12" s="74"/>
      <c r="D12" s="335" t="s">
        <v>48</v>
      </c>
      <c r="E12" s="336"/>
      <c r="F12" s="334">
        <v>0</v>
      </c>
      <c r="G12" s="73" t="s">
        <v>49</v>
      </c>
      <c r="H12" s="60"/>
      <c r="J12" s="61" t="s">
        <v>50</v>
      </c>
      <c r="K12" s="3"/>
      <c r="L12" s="3">
        <f>SUM(K12-K10)</f>
        <v>0</v>
      </c>
      <c r="M12" s="15" t="s">
        <v>51</v>
      </c>
    </row>
    <row r="13" spans="2:16" ht="15" x14ac:dyDescent="0.25">
      <c r="B13" s="57"/>
      <c r="C13" s="75"/>
      <c r="D13" s="71"/>
      <c r="E13" s="71"/>
      <c r="F13" s="334"/>
      <c r="G13" s="73"/>
      <c r="H13" s="60"/>
      <c r="J13" s="76"/>
      <c r="M13" s="77"/>
    </row>
    <row r="14" spans="2:16" ht="15" x14ac:dyDescent="0.25">
      <c r="B14" s="57"/>
      <c r="C14" s="59"/>
      <c r="D14" s="71"/>
      <c r="E14" s="71"/>
      <c r="F14" s="334"/>
      <c r="G14" s="73"/>
      <c r="H14" s="60"/>
      <c r="J14" s="76"/>
      <c r="M14" s="77"/>
    </row>
    <row r="15" spans="2:16" ht="15" x14ac:dyDescent="0.25">
      <c r="B15" s="57"/>
      <c r="C15" s="59"/>
      <c r="D15" s="71"/>
      <c r="E15" s="71"/>
      <c r="F15" s="334"/>
      <c r="G15" s="73"/>
      <c r="H15" s="60"/>
      <c r="J15" s="76"/>
      <c r="M15" s="77"/>
    </row>
    <row r="16" spans="2:16" ht="15" x14ac:dyDescent="0.25">
      <c r="B16" s="57"/>
      <c r="C16" s="59"/>
      <c r="D16" s="71"/>
      <c r="E16" s="71"/>
      <c r="F16" s="334"/>
      <c r="G16" s="73"/>
      <c r="H16" s="60"/>
      <c r="J16" s="76"/>
      <c r="M16" s="77"/>
    </row>
    <row r="17" spans="2:13" ht="15" x14ac:dyDescent="0.25">
      <c r="B17" s="57"/>
      <c r="C17" s="59"/>
      <c r="D17" s="71"/>
      <c r="E17" s="71"/>
      <c r="F17" s="334"/>
      <c r="G17" s="73"/>
      <c r="H17" s="60"/>
      <c r="J17" s="76"/>
      <c r="M17" s="77"/>
    </row>
    <row r="18" spans="2:13" ht="15" x14ac:dyDescent="0.25">
      <c r="B18" s="57"/>
      <c r="C18" s="59"/>
      <c r="D18" s="71"/>
      <c r="E18" s="71"/>
      <c r="F18" s="337">
        <f>SUM(F11:F17)</f>
        <v>0</v>
      </c>
      <c r="G18" s="59"/>
      <c r="H18" s="60"/>
      <c r="J18" s="76"/>
      <c r="M18" s="77"/>
    </row>
    <row r="19" spans="2:13" ht="15" x14ac:dyDescent="0.25">
      <c r="B19" s="57"/>
      <c r="C19" s="59"/>
      <c r="D19" s="71"/>
      <c r="E19" s="71"/>
      <c r="F19" s="71"/>
      <c r="G19" s="59"/>
      <c r="H19" s="60"/>
      <c r="J19" s="76"/>
      <c r="M19" s="77"/>
    </row>
    <row r="20" spans="2:13" ht="15" x14ac:dyDescent="0.25">
      <c r="B20" s="57"/>
      <c r="C20" s="59"/>
      <c r="D20" s="71"/>
      <c r="E20" s="71"/>
      <c r="F20" s="71"/>
      <c r="G20" s="59"/>
      <c r="H20" s="60"/>
      <c r="J20" s="76"/>
      <c r="M20" s="77"/>
    </row>
    <row r="21" spans="2:13" ht="15" x14ac:dyDescent="0.25">
      <c r="B21" s="57"/>
      <c r="C21" s="59"/>
      <c r="D21" s="71"/>
      <c r="E21" s="71"/>
      <c r="F21" s="71"/>
      <c r="G21" s="59"/>
      <c r="H21" s="60"/>
      <c r="J21" s="76"/>
      <c r="M21" s="77"/>
    </row>
    <row r="22" spans="2:13" ht="15" x14ac:dyDescent="0.25">
      <c r="B22" s="57"/>
      <c r="C22" s="58" t="s">
        <v>52</v>
      </c>
      <c r="D22" s="66">
        <f>F8</f>
        <v>0</v>
      </c>
      <c r="E22" s="78">
        <f>F18</f>
        <v>0</v>
      </c>
      <c r="F22" s="79">
        <f>SUM(D22-E22)</f>
        <v>0</v>
      </c>
      <c r="G22" s="59"/>
      <c r="H22" s="60"/>
      <c r="J22" s="76"/>
      <c r="M22" s="77"/>
    </row>
    <row r="23" spans="2:13" ht="15.75" thickBot="1" x14ac:dyDescent="0.3">
      <c r="B23" s="80"/>
      <c r="C23" s="81"/>
      <c r="D23" s="338"/>
      <c r="E23" s="338"/>
      <c r="F23" s="338"/>
      <c r="G23" s="81"/>
      <c r="H23" s="82"/>
      <c r="J23" s="83"/>
      <c r="K23" s="84"/>
      <c r="L23" s="84"/>
      <c r="M23" s="85"/>
    </row>
    <row r="25" spans="2:13" ht="13.5" thickBot="1" x14ac:dyDescent="0.25">
      <c r="H25" s="2"/>
    </row>
    <row r="26" spans="2:13" x14ac:dyDescent="0.2">
      <c r="B26" s="86"/>
      <c r="C26" s="54"/>
      <c r="D26" s="339"/>
      <c r="E26" s="339"/>
      <c r="F26" s="339"/>
      <c r="G26" s="54"/>
      <c r="H26" s="87"/>
      <c r="J26" s="53" t="s">
        <v>53</v>
      </c>
      <c r="K26" s="54"/>
      <c r="L26" s="54"/>
      <c r="M26" s="55"/>
    </row>
    <row r="27" spans="2:13" x14ac:dyDescent="0.2">
      <c r="B27" s="76"/>
      <c r="C27" s="3" t="s">
        <v>54</v>
      </c>
      <c r="D27" s="10" t="s">
        <v>38</v>
      </c>
      <c r="E27" s="10" t="s">
        <v>39</v>
      </c>
      <c r="F27" s="10" t="s">
        <v>40</v>
      </c>
      <c r="G27" s="2"/>
      <c r="H27" s="62"/>
      <c r="J27" s="61" t="s">
        <v>41</v>
      </c>
      <c r="K27" s="9" t="s">
        <v>42</v>
      </c>
      <c r="L27" s="2"/>
      <c r="M27" s="62"/>
    </row>
    <row r="28" spans="2:13" x14ac:dyDescent="0.2">
      <c r="B28" s="76"/>
      <c r="C28" s="88">
        <v>46113</v>
      </c>
      <c r="D28" s="89">
        <f>'AVRIL 2026'!F36</f>
        <v>0</v>
      </c>
      <c r="E28" s="90">
        <f>'AVRIL 2026'!AD69</f>
        <v>0</v>
      </c>
      <c r="F28" s="91">
        <f>SUM(D28-E28)</f>
        <v>0</v>
      </c>
      <c r="G28" s="2"/>
      <c r="H28" s="62"/>
      <c r="J28" s="67"/>
      <c r="K28" s="3"/>
      <c r="L28" s="68"/>
      <c r="M28" s="62"/>
    </row>
    <row r="29" spans="2:13" x14ac:dyDescent="0.2">
      <c r="B29" s="76"/>
      <c r="C29" s="88">
        <v>46143</v>
      </c>
      <c r="D29" s="89">
        <f>'MAI 2026'!F36</f>
        <v>0</v>
      </c>
      <c r="E29" s="90">
        <f>'MAI 2026'!AD69</f>
        <v>0</v>
      </c>
      <c r="F29" s="91">
        <f t="shared" ref="F29:F30" si="1">SUM(D29-E29)</f>
        <v>0</v>
      </c>
      <c r="G29" s="2"/>
      <c r="H29" s="62"/>
      <c r="J29" s="69"/>
      <c r="K29" s="3"/>
      <c r="L29" s="68"/>
      <c r="M29" s="62"/>
    </row>
    <row r="30" spans="2:13" x14ac:dyDescent="0.2">
      <c r="B30" s="76"/>
      <c r="C30" s="88">
        <v>46174</v>
      </c>
      <c r="D30" s="89">
        <f>'JUIN 2026'!F36</f>
        <v>55.948311242788165</v>
      </c>
      <c r="E30" s="90">
        <f>'JUIN 2026'!AD69</f>
        <v>118.60000000000001</v>
      </c>
      <c r="F30" s="91">
        <f t="shared" si="1"/>
        <v>-62.651688757211843</v>
      </c>
      <c r="G30" s="2"/>
      <c r="H30" s="62"/>
      <c r="J30" s="69"/>
      <c r="K30" s="3"/>
      <c r="L30" s="68"/>
      <c r="M30" s="62"/>
    </row>
    <row r="31" spans="2:13" x14ac:dyDescent="0.2">
      <c r="B31" s="76"/>
      <c r="C31" s="92"/>
      <c r="D31" s="11"/>
      <c r="E31" s="11"/>
      <c r="F31" s="11"/>
      <c r="G31" s="2"/>
      <c r="H31" s="62"/>
      <c r="J31" s="67"/>
      <c r="K31" s="3"/>
      <c r="L31" s="68"/>
      <c r="M31" s="62"/>
    </row>
    <row r="32" spans="2:13" x14ac:dyDescent="0.2">
      <c r="B32" s="76"/>
      <c r="C32" s="2"/>
      <c r="D32" s="89">
        <f>SUM(D28:D31)</f>
        <v>55.948311242788165</v>
      </c>
      <c r="E32" s="90">
        <f>SUM(E28:E30)</f>
        <v>118.60000000000001</v>
      </c>
      <c r="F32" s="91">
        <f>SUM(F28:F31)</f>
        <v>-62.651688757211843</v>
      </c>
      <c r="G32" s="2"/>
      <c r="H32" s="62"/>
      <c r="J32" s="67"/>
      <c r="K32" s="3"/>
      <c r="L32" s="3"/>
      <c r="M32" s="62"/>
    </row>
    <row r="33" spans="2:13" x14ac:dyDescent="0.2">
      <c r="B33" s="76"/>
      <c r="C33" s="92"/>
      <c r="D33" s="11"/>
      <c r="E33" s="11"/>
      <c r="F33" s="11"/>
      <c r="G33" s="2"/>
      <c r="H33" s="62"/>
      <c r="J33" s="67"/>
      <c r="K33" s="9"/>
      <c r="L33" s="3"/>
      <c r="M33" s="62"/>
    </row>
    <row r="34" spans="2:13" x14ac:dyDescent="0.2">
      <c r="B34" s="76"/>
      <c r="C34" s="2"/>
      <c r="D34" s="11"/>
      <c r="E34" s="11"/>
      <c r="F34" s="11"/>
      <c r="G34" s="2"/>
      <c r="H34" s="62"/>
      <c r="J34" s="61" t="s">
        <v>45</v>
      </c>
      <c r="K34" s="3">
        <f>SUM(K28:K33)</f>
        <v>0</v>
      </c>
      <c r="L34" s="2"/>
      <c r="M34" s="62"/>
    </row>
    <row r="35" spans="2:13" x14ac:dyDescent="0.2">
      <c r="B35" s="76"/>
      <c r="C35" s="93" t="s">
        <v>46</v>
      </c>
      <c r="D35" s="94"/>
      <c r="E35" s="95"/>
      <c r="F35" s="10" t="s">
        <v>47</v>
      </c>
      <c r="G35" s="68"/>
      <c r="H35" s="62"/>
      <c r="J35" s="67"/>
      <c r="K35" s="2"/>
      <c r="L35" s="2"/>
      <c r="M35" s="62"/>
    </row>
    <row r="36" spans="2:13" x14ac:dyDescent="0.2">
      <c r="B36" s="76"/>
      <c r="C36" s="12"/>
      <c r="D36" s="11"/>
      <c r="E36" s="11"/>
      <c r="F36" s="10"/>
      <c r="G36" s="68"/>
      <c r="H36" s="62"/>
      <c r="J36" s="61" t="s">
        <v>50</v>
      </c>
      <c r="K36" s="3"/>
      <c r="L36" s="3">
        <f>SUM(K36-K34)</f>
        <v>0</v>
      </c>
      <c r="M36" s="15" t="s">
        <v>51</v>
      </c>
    </row>
    <row r="37" spans="2:13" x14ac:dyDescent="0.2">
      <c r="B37" s="76"/>
      <c r="C37" s="12"/>
      <c r="D37" s="11"/>
      <c r="E37" s="11"/>
      <c r="F37" s="10"/>
      <c r="G37" s="68"/>
      <c r="H37" s="62"/>
      <c r="J37" s="76"/>
      <c r="M37" s="77"/>
    </row>
    <row r="38" spans="2:13" x14ac:dyDescent="0.2">
      <c r="B38" s="76"/>
      <c r="C38" s="2"/>
      <c r="D38" s="11"/>
      <c r="E38" s="11"/>
      <c r="F38" s="10"/>
      <c r="G38" s="68"/>
      <c r="H38" s="62"/>
      <c r="J38" s="76"/>
      <c r="L38" s="7"/>
      <c r="M38" s="77"/>
    </row>
    <row r="39" spans="2:13" x14ac:dyDescent="0.2">
      <c r="B39" s="76"/>
      <c r="C39" s="2"/>
      <c r="D39" s="11"/>
      <c r="E39" s="11"/>
      <c r="F39" s="10"/>
      <c r="G39" s="68"/>
      <c r="H39" s="62"/>
      <c r="J39" s="76"/>
      <c r="L39" s="7"/>
      <c r="M39" s="77"/>
    </row>
    <row r="40" spans="2:13" x14ac:dyDescent="0.2">
      <c r="B40" s="76"/>
      <c r="C40" s="2"/>
      <c r="D40" s="11"/>
      <c r="E40" s="11"/>
      <c r="F40" s="10"/>
      <c r="G40" s="68"/>
      <c r="H40" s="62"/>
      <c r="J40" s="76"/>
      <c r="M40" s="77"/>
    </row>
    <row r="41" spans="2:13" x14ac:dyDescent="0.2">
      <c r="B41" s="76"/>
      <c r="C41" s="2"/>
      <c r="D41" s="11"/>
      <c r="E41" s="11"/>
      <c r="F41" s="10"/>
      <c r="G41" s="68"/>
      <c r="H41" s="62"/>
      <c r="J41" s="76"/>
      <c r="M41" s="77"/>
    </row>
    <row r="42" spans="2:13" x14ac:dyDescent="0.2">
      <c r="B42" s="76"/>
      <c r="C42" s="2"/>
      <c r="D42" s="11"/>
      <c r="E42" s="11"/>
      <c r="F42" s="10"/>
      <c r="G42" s="3"/>
      <c r="H42" s="62"/>
      <c r="J42" s="76"/>
      <c r="M42" s="77"/>
    </row>
    <row r="43" spans="2:13" x14ac:dyDescent="0.2">
      <c r="B43" s="76"/>
      <c r="C43" s="2"/>
      <c r="D43" s="11"/>
      <c r="E43" s="11"/>
      <c r="F43" s="10"/>
      <c r="G43" s="3"/>
      <c r="H43" s="77"/>
      <c r="J43" s="76"/>
      <c r="M43" s="77"/>
    </row>
    <row r="44" spans="2:13" x14ac:dyDescent="0.2">
      <c r="B44" s="76"/>
      <c r="C44" s="2"/>
      <c r="D44" s="11"/>
      <c r="E44" s="11"/>
      <c r="F44" s="96">
        <f>SUM(F35:F42)</f>
        <v>0</v>
      </c>
      <c r="G44" s="2"/>
      <c r="H44" s="77"/>
      <c r="J44" s="76"/>
      <c r="M44" s="77"/>
    </row>
    <row r="45" spans="2:13" x14ac:dyDescent="0.2">
      <c r="B45" s="76"/>
      <c r="C45" s="2"/>
      <c r="D45" s="11"/>
      <c r="E45" s="11"/>
      <c r="F45" s="11"/>
      <c r="G45" s="2"/>
      <c r="H45" s="77"/>
      <c r="J45" s="76"/>
      <c r="M45" s="77"/>
    </row>
    <row r="46" spans="2:13" x14ac:dyDescent="0.2">
      <c r="B46" s="76"/>
      <c r="C46" s="3" t="s">
        <v>52</v>
      </c>
      <c r="D46" s="91">
        <f>F32</f>
        <v>-62.651688757211843</v>
      </c>
      <c r="E46" s="97">
        <f>F44</f>
        <v>0</v>
      </c>
      <c r="F46" s="98">
        <f>SUM(D46-E46)</f>
        <v>-62.651688757211843</v>
      </c>
      <c r="G46" s="2"/>
      <c r="H46" s="77"/>
      <c r="J46" s="76"/>
      <c r="M46" s="77"/>
    </row>
    <row r="47" spans="2:13" ht="13.5" thickBot="1" x14ac:dyDescent="0.25">
      <c r="B47" s="83"/>
      <c r="C47" s="84"/>
      <c r="D47" s="340"/>
      <c r="E47" s="340"/>
      <c r="F47" s="340"/>
      <c r="G47" s="84"/>
      <c r="H47" s="85"/>
      <c r="J47" s="83"/>
      <c r="K47" s="84"/>
      <c r="L47" s="99"/>
      <c r="M47" s="85"/>
    </row>
    <row r="48" spans="2:13" x14ac:dyDescent="0.2">
      <c r="J48" s="7"/>
      <c r="L48" s="7"/>
    </row>
    <row r="49" spans="2:16" x14ac:dyDescent="0.2">
      <c r="J49" s="7"/>
      <c r="L49" s="7"/>
    </row>
    <row r="59" spans="2:16" ht="13.5" thickBot="1" x14ac:dyDescent="0.25"/>
    <row r="60" spans="2:16" ht="15" x14ac:dyDescent="0.25">
      <c r="B60" s="86"/>
      <c r="C60" s="54"/>
      <c r="D60" s="339"/>
      <c r="E60" s="339"/>
      <c r="F60" s="339"/>
      <c r="G60" s="54"/>
      <c r="H60" s="55"/>
      <c r="J60" s="53" t="s">
        <v>55</v>
      </c>
      <c r="K60" s="54"/>
      <c r="L60" s="54"/>
      <c r="M60" s="55"/>
      <c r="O60" s="56" t="s">
        <v>36</v>
      </c>
      <c r="P60" s="1" t="s">
        <v>16</v>
      </c>
    </row>
    <row r="61" spans="2:16" ht="15" x14ac:dyDescent="0.25">
      <c r="B61" s="76"/>
      <c r="C61" s="3" t="s">
        <v>56</v>
      </c>
      <c r="D61" s="10" t="s">
        <v>38</v>
      </c>
      <c r="E61" s="10" t="s">
        <v>39</v>
      </c>
      <c r="F61" s="10" t="s">
        <v>40</v>
      </c>
      <c r="G61" s="2"/>
      <c r="H61" s="77"/>
      <c r="J61" s="61" t="s">
        <v>41</v>
      </c>
      <c r="K61" s="9" t="s">
        <v>42</v>
      </c>
      <c r="L61" s="2"/>
      <c r="M61" s="62"/>
      <c r="O61" s="56" t="s">
        <v>43</v>
      </c>
      <c r="P61" s="1" t="s">
        <v>44</v>
      </c>
    </row>
    <row r="62" spans="2:16" x14ac:dyDescent="0.2">
      <c r="B62" s="76"/>
      <c r="C62" s="88">
        <v>46204</v>
      </c>
      <c r="D62" s="89">
        <f>'JUILLET 2026'!F36</f>
        <v>0</v>
      </c>
      <c r="E62" s="90">
        <f>'JUILLET 2026'!AD69</f>
        <v>0</v>
      </c>
      <c r="F62" s="91">
        <f>SUM(D62-E62)</f>
        <v>0</v>
      </c>
      <c r="G62" s="2"/>
      <c r="H62" s="77"/>
      <c r="J62" s="67"/>
      <c r="K62" s="3"/>
      <c r="L62" s="68"/>
      <c r="M62" s="62"/>
    </row>
    <row r="63" spans="2:16" x14ac:dyDescent="0.2">
      <c r="B63" s="76"/>
      <c r="C63" s="88">
        <v>46235</v>
      </c>
      <c r="D63" s="89">
        <f>'AOUT 2026'!F36</f>
        <v>0</v>
      </c>
      <c r="E63" s="90">
        <f>'AOUT 2026'!AD69</f>
        <v>0</v>
      </c>
      <c r="F63" s="91">
        <f t="shared" ref="F63:F64" si="2">SUM(D63-E63)</f>
        <v>0</v>
      </c>
      <c r="G63" s="2"/>
      <c r="H63" s="77"/>
      <c r="J63" s="69"/>
      <c r="K63" s="3"/>
      <c r="L63" s="68"/>
      <c r="M63" s="62"/>
    </row>
    <row r="64" spans="2:16" x14ac:dyDescent="0.2">
      <c r="B64" s="76"/>
      <c r="C64" s="88">
        <v>46266</v>
      </c>
      <c r="D64" s="89">
        <f>'SEPT 2026'!F36</f>
        <v>0</v>
      </c>
      <c r="E64" s="90">
        <f>'SEPT 2026'!AD69</f>
        <v>0</v>
      </c>
      <c r="F64" s="91">
        <f t="shared" si="2"/>
        <v>0</v>
      </c>
      <c r="G64" s="2"/>
      <c r="H64" s="77"/>
      <c r="J64" s="69"/>
      <c r="K64" s="3"/>
      <c r="L64" s="68"/>
      <c r="M64" s="62"/>
    </row>
    <row r="65" spans="2:13" x14ac:dyDescent="0.2">
      <c r="B65" s="76"/>
      <c r="C65" s="92"/>
      <c r="D65" s="11"/>
      <c r="E65" s="11"/>
      <c r="F65" s="11"/>
      <c r="G65" s="2"/>
      <c r="H65" s="77"/>
      <c r="J65" s="67"/>
      <c r="K65" s="3"/>
      <c r="L65" s="68"/>
      <c r="M65" s="62"/>
    </row>
    <row r="66" spans="2:13" x14ac:dyDescent="0.2">
      <c r="B66" s="76"/>
      <c r="C66" s="2"/>
      <c r="D66" s="89">
        <f>SUM(D62:D65)</f>
        <v>0</v>
      </c>
      <c r="E66" s="90">
        <f>SUM(E62:E64)</f>
        <v>0</v>
      </c>
      <c r="F66" s="91">
        <f>SUM(F62:F65)</f>
        <v>0</v>
      </c>
      <c r="G66" s="2"/>
      <c r="H66" s="77"/>
      <c r="J66" s="67"/>
      <c r="K66" s="3"/>
      <c r="L66" s="3"/>
      <c r="M66" s="62"/>
    </row>
    <row r="67" spans="2:13" x14ac:dyDescent="0.2">
      <c r="B67" s="76"/>
      <c r="C67" s="92"/>
      <c r="D67" s="11"/>
      <c r="E67" s="11"/>
      <c r="F67" s="11"/>
      <c r="G67" s="2"/>
      <c r="H67" s="77"/>
      <c r="J67" s="67"/>
      <c r="K67" s="9"/>
      <c r="L67" s="3"/>
      <c r="M67" s="62"/>
    </row>
    <row r="68" spans="2:13" x14ac:dyDescent="0.2">
      <c r="B68" s="76"/>
      <c r="C68" s="2"/>
      <c r="D68" s="11"/>
      <c r="E68" s="11"/>
      <c r="F68" s="11"/>
      <c r="G68" s="2"/>
      <c r="H68" s="77"/>
      <c r="J68" s="61" t="s">
        <v>45</v>
      </c>
      <c r="K68" s="3">
        <f>SUM(K62:K67)</f>
        <v>0</v>
      </c>
      <c r="L68" s="2"/>
      <c r="M68" s="62"/>
    </row>
    <row r="69" spans="2:13" x14ac:dyDescent="0.2">
      <c r="B69" s="76"/>
      <c r="C69" s="93" t="s">
        <v>46</v>
      </c>
      <c r="D69" s="94"/>
      <c r="E69" s="95"/>
      <c r="F69" s="10" t="s">
        <v>47</v>
      </c>
      <c r="G69" s="68"/>
      <c r="H69" s="77"/>
      <c r="J69" s="67"/>
      <c r="K69" s="2"/>
      <c r="L69" s="2"/>
      <c r="M69" s="62"/>
    </row>
    <row r="70" spans="2:13" x14ac:dyDescent="0.2">
      <c r="B70" s="76"/>
      <c r="C70" s="12"/>
      <c r="D70" s="11"/>
      <c r="E70" s="11"/>
      <c r="F70" s="10"/>
      <c r="G70" s="68"/>
      <c r="H70" s="77"/>
      <c r="J70" s="61" t="s">
        <v>50</v>
      </c>
      <c r="K70" s="3"/>
      <c r="L70" s="3">
        <f>SUM(K70-K68)</f>
        <v>0</v>
      </c>
      <c r="M70" s="15" t="s">
        <v>51</v>
      </c>
    </row>
    <row r="71" spans="2:13" x14ac:dyDescent="0.2">
      <c r="B71" s="76"/>
      <c r="C71" s="12"/>
      <c r="D71" s="11"/>
      <c r="E71" s="11"/>
      <c r="F71" s="10"/>
      <c r="G71" s="68"/>
      <c r="H71" s="77"/>
      <c r="J71" s="76"/>
      <c r="M71" s="77"/>
    </row>
    <row r="72" spans="2:13" x14ac:dyDescent="0.2">
      <c r="B72" s="76"/>
      <c r="C72" s="2"/>
      <c r="D72" s="11"/>
      <c r="E72" s="11"/>
      <c r="F72" s="10"/>
      <c r="G72" s="68"/>
      <c r="H72" s="77"/>
      <c r="J72" s="76"/>
      <c r="M72" s="77"/>
    </row>
    <row r="73" spans="2:13" x14ac:dyDescent="0.2">
      <c r="B73" s="76"/>
      <c r="C73" s="2"/>
      <c r="D73" s="11"/>
      <c r="E73" s="11"/>
      <c r="F73" s="10"/>
      <c r="G73" s="68"/>
      <c r="H73" s="77"/>
      <c r="J73" s="76"/>
      <c r="M73" s="77" t="s">
        <v>57</v>
      </c>
    </row>
    <row r="74" spans="2:13" x14ac:dyDescent="0.2">
      <c r="B74" s="76"/>
      <c r="C74" s="2"/>
      <c r="D74" s="11"/>
      <c r="E74" s="11"/>
      <c r="F74" s="10"/>
      <c r="G74" s="68"/>
      <c r="H74" s="77"/>
      <c r="J74" s="76"/>
      <c r="M74" s="77"/>
    </row>
    <row r="75" spans="2:13" x14ac:dyDescent="0.2">
      <c r="B75" s="76"/>
      <c r="C75" s="2"/>
      <c r="D75" s="11"/>
      <c r="E75" s="11"/>
      <c r="F75" s="10"/>
      <c r="G75" s="3"/>
      <c r="H75" s="77"/>
      <c r="J75" s="76"/>
      <c r="M75" s="77"/>
    </row>
    <row r="76" spans="2:13" x14ac:dyDescent="0.2">
      <c r="B76" s="76"/>
      <c r="C76" s="2"/>
      <c r="D76" s="11"/>
      <c r="E76" s="11"/>
      <c r="F76" s="96">
        <f>SUM(F69:F75)</f>
        <v>0</v>
      </c>
      <c r="G76" s="2"/>
      <c r="H76" s="77"/>
      <c r="J76" s="76"/>
      <c r="M76" s="77"/>
    </row>
    <row r="77" spans="2:13" x14ac:dyDescent="0.2">
      <c r="B77" s="76"/>
      <c r="C77" s="2"/>
      <c r="D77" s="11"/>
      <c r="E77" s="11"/>
      <c r="F77" s="11"/>
      <c r="G77" s="2"/>
      <c r="H77" s="77"/>
      <c r="J77" s="76"/>
      <c r="M77" s="77"/>
    </row>
    <row r="78" spans="2:13" x14ac:dyDescent="0.2">
      <c r="B78" s="76"/>
      <c r="C78" s="2"/>
      <c r="D78" s="11"/>
      <c r="E78" s="11"/>
      <c r="F78" s="11"/>
      <c r="G78" s="2"/>
      <c r="H78" s="77"/>
      <c r="J78" s="76"/>
      <c r="M78" s="77"/>
    </row>
    <row r="79" spans="2:13" x14ac:dyDescent="0.2">
      <c r="B79" s="76"/>
      <c r="C79" s="2"/>
      <c r="D79" s="11"/>
      <c r="E79" s="11"/>
      <c r="F79" s="11"/>
      <c r="G79" s="2"/>
      <c r="H79" s="77"/>
      <c r="J79" s="76"/>
      <c r="M79" s="77"/>
    </row>
    <row r="80" spans="2:13" x14ac:dyDescent="0.2">
      <c r="B80" s="76"/>
      <c r="C80" s="3" t="s">
        <v>52</v>
      </c>
      <c r="D80" s="91">
        <f>F66</f>
        <v>0</v>
      </c>
      <c r="E80" s="97">
        <f>F76</f>
        <v>0</v>
      </c>
      <c r="F80" s="98">
        <f>SUM(D80-E80)</f>
        <v>0</v>
      </c>
      <c r="G80" s="2"/>
      <c r="H80" s="77"/>
      <c r="J80" s="76"/>
      <c r="M80" s="77"/>
    </row>
    <row r="81" spans="2:13" ht="13.5" thickBot="1" x14ac:dyDescent="0.25">
      <c r="B81" s="83"/>
      <c r="C81" s="84"/>
      <c r="D81" s="340"/>
      <c r="E81" s="340"/>
      <c r="F81" s="340"/>
      <c r="G81" s="84"/>
      <c r="H81" s="85"/>
      <c r="J81" s="83"/>
      <c r="K81" s="84"/>
      <c r="L81" s="99"/>
      <c r="M81" s="85"/>
    </row>
    <row r="82" spans="2:13" x14ac:dyDescent="0.2">
      <c r="J82" s="7"/>
      <c r="L82" s="7"/>
    </row>
    <row r="83" spans="2:13" ht="13.5" thickBot="1" x14ac:dyDescent="0.25">
      <c r="J83" s="7"/>
      <c r="L83" s="7"/>
    </row>
    <row r="84" spans="2:13" x14ac:dyDescent="0.2">
      <c r="B84" s="86"/>
      <c r="C84" s="54"/>
      <c r="D84" s="339"/>
      <c r="E84" s="339"/>
      <c r="F84" s="339"/>
      <c r="G84" s="54"/>
      <c r="H84" s="55"/>
      <c r="J84" s="53" t="s">
        <v>58</v>
      </c>
      <c r="K84" s="54"/>
      <c r="L84" s="54"/>
      <c r="M84" s="55"/>
    </row>
    <row r="85" spans="2:13" x14ac:dyDescent="0.2">
      <c r="B85" s="76"/>
      <c r="C85" s="3" t="s">
        <v>59</v>
      </c>
      <c r="D85" s="10" t="s">
        <v>38</v>
      </c>
      <c r="E85" s="10" t="s">
        <v>39</v>
      </c>
      <c r="F85" s="10" t="s">
        <v>40</v>
      </c>
      <c r="G85" s="2"/>
      <c r="H85" s="77"/>
      <c r="J85" s="61" t="s">
        <v>41</v>
      </c>
      <c r="K85" s="9" t="s">
        <v>42</v>
      </c>
      <c r="L85" s="2"/>
      <c r="M85" s="62"/>
    </row>
    <row r="86" spans="2:13" x14ac:dyDescent="0.2">
      <c r="B86" s="76"/>
      <c r="C86" s="88">
        <v>46296</v>
      </c>
      <c r="D86" s="89">
        <f>'OCT 2026'!F36</f>
        <v>0</v>
      </c>
      <c r="E86" s="90">
        <f>'OCT 2026'!AD69</f>
        <v>0</v>
      </c>
      <c r="F86" s="91">
        <f>SUM(D86-E86)</f>
        <v>0</v>
      </c>
      <c r="G86" s="2"/>
      <c r="H86" s="77"/>
      <c r="J86" s="67"/>
      <c r="K86" s="3"/>
      <c r="L86" s="68"/>
      <c r="M86" s="62"/>
    </row>
    <row r="87" spans="2:13" x14ac:dyDescent="0.2">
      <c r="B87" s="76"/>
      <c r="C87" s="88">
        <v>46327</v>
      </c>
      <c r="D87" s="89">
        <f>'NOV 2026'!F36</f>
        <v>0</v>
      </c>
      <c r="E87" s="90">
        <f>'NOV 2026'!AD69</f>
        <v>0</v>
      </c>
      <c r="F87" s="91">
        <f t="shared" ref="F87:F88" si="3">SUM(D87-E87)</f>
        <v>0</v>
      </c>
      <c r="G87" s="2"/>
      <c r="H87" s="77"/>
      <c r="J87" s="69"/>
      <c r="K87" s="3"/>
      <c r="L87" s="68"/>
      <c r="M87" s="62"/>
    </row>
    <row r="88" spans="2:13" x14ac:dyDescent="0.2">
      <c r="B88" s="76"/>
      <c r="C88" s="88">
        <v>46357</v>
      </c>
      <c r="D88" s="89">
        <f>'DEC 2026'!F36</f>
        <v>0</v>
      </c>
      <c r="E88" s="90">
        <f>'DEC 2026'!AD69</f>
        <v>0</v>
      </c>
      <c r="F88" s="91">
        <f t="shared" si="3"/>
        <v>0</v>
      </c>
      <c r="G88" s="2"/>
      <c r="H88" s="77"/>
      <c r="J88" s="69"/>
      <c r="K88" s="3"/>
      <c r="L88" s="68"/>
      <c r="M88" s="62"/>
    </row>
    <row r="89" spans="2:13" x14ac:dyDescent="0.2">
      <c r="B89" s="76"/>
      <c r="C89" s="92"/>
      <c r="D89" s="11"/>
      <c r="E89" s="11"/>
      <c r="F89" s="11"/>
      <c r="G89" s="2"/>
      <c r="H89" s="77"/>
      <c r="J89" s="67"/>
      <c r="K89" s="3"/>
      <c r="L89" s="68"/>
      <c r="M89" s="62"/>
    </row>
    <row r="90" spans="2:13" x14ac:dyDescent="0.2">
      <c r="B90" s="76"/>
      <c r="C90" s="2"/>
      <c r="D90" s="89">
        <f>SUM(D86:D89)</f>
        <v>0</v>
      </c>
      <c r="E90" s="90">
        <f>SUM(E86:E88)</f>
        <v>0</v>
      </c>
      <c r="F90" s="91">
        <f>SUM(F86:F89)</f>
        <v>0</v>
      </c>
      <c r="G90" s="2"/>
      <c r="H90" s="77"/>
      <c r="J90" s="67"/>
      <c r="K90" s="3"/>
      <c r="L90" s="3"/>
      <c r="M90" s="62"/>
    </row>
    <row r="91" spans="2:13" x14ac:dyDescent="0.2">
      <c r="B91" s="76"/>
      <c r="C91" s="92"/>
      <c r="D91" s="11"/>
      <c r="E91" s="11"/>
      <c r="F91" s="11"/>
      <c r="G91" s="2"/>
      <c r="H91" s="77"/>
      <c r="J91" s="67"/>
      <c r="K91" s="9"/>
      <c r="L91" s="3"/>
      <c r="M91" s="62"/>
    </row>
    <row r="92" spans="2:13" x14ac:dyDescent="0.2">
      <c r="B92" s="76"/>
      <c r="C92" s="2"/>
      <c r="D92" s="11"/>
      <c r="E92" s="11"/>
      <c r="F92" s="11"/>
      <c r="G92" s="2"/>
      <c r="H92" s="77"/>
      <c r="J92" s="61" t="s">
        <v>45</v>
      </c>
      <c r="K92" s="3">
        <f>SUM(K86:K91)</f>
        <v>0</v>
      </c>
      <c r="L92" s="2"/>
      <c r="M92" s="62"/>
    </row>
    <row r="93" spans="2:13" x14ac:dyDescent="0.2">
      <c r="B93" s="76"/>
      <c r="C93" s="93" t="s">
        <v>46</v>
      </c>
      <c r="D93" s="94"/>
      <c r="E93" s="95"/>
      <c r="F93" s="10"/>
      <c r="G93" s="68"/>
      <c r="H93" s="77"/>
      <c r="J93" s="67"/>
      <c r="K93" s="2"/>
      <c r="L93" s="2"/>
      <c r="M93" s="62"/>
    </row>
    <row r="94" spans="2:13" x14ac:dyDescent="0.2">
      <c r="B94" s="76"/>
      <c r="C94" s="12"/>
      <c r="D94" s="11"/>
      <c r="E94" s="11"/>
      <c r="F94" s="10"/>
      <c r="G94" s="68"/>
      <c r="H94" s="77"/>
      <c r="J94" s="61" t="s">
        <v>50</v>
      </c>
      <c r="K94" s="3"/>
      <c r="L94" s="3">
        <f>SUM(K94-K92)</f>
        <v>0</v>
      </c>
      <c r="M94" s="15" t="s">
        <v>51</v>
      </c>
    </row>
    <row r="95" spans="2:13" x14ac:dyDescent="0.2">
      <c r="B95" s="76"/>
      <c r="C95" s="12"/>
      <c r="D95" s="11"/>
      <c r="E95" s="11"/>
      <c r="F95" s="10"/>
      <c r="G95" s="68"/>
      <c r="H95" s="77"/>
      <c r="J95" s="76"/>
      <c r="M95" s="77"/>
    </row>
    <row r="96" spans="2:13" x14ac:dyDescent="0.2">
      <c r="B96" s="76"/>
      <c r="C96" s="2"/>
      <c r="D96" s="11"/>
      <c r="E96" s="11"/>
      <c r="F96" s="10"/>
      <c r="G96" s="68"/>
      <c r="H96" s="77"/>
      <c r="J96" s="76"/>
      <c r="M96" s="77"/>
    </row>
    <row r="97" spans="2:13" x14ac:dyDescent="0.2">
      <c r="B97" s="76"/>
      <c r="C97" s="2"/>
      <c r="D97" s="11"/>
      <c r="E97" s="11"/>
      <c r="F97" s="10"/>
      <c r="G97" s="68"/>
      <c r="H97" s="77"/>
      <c r="J97" s="76"/>
      <c r="M97" s="77"/>
    </row>
    <row r="98" spans="2:13" x14ac:dyDescent="0.2">
      <c r="B98" s="76"/>
      <c r="C98" s="2"/>
      <c r="D98" s="11"/>
      <c r="E98" s="11"/>
      <c r="F98" s="10"/>
      <c r="G98" s="68"/>
      <c r="H98" s="77"/>
      <c r="J98" s="76"/>
      <c r="M98" s="77"/>
    </row>
    <row r="99" spans="2:13" x14ac:dyDescent="0.2">
      <c r="B99" s="76"/>
      <c r="C99" s="2"/>
      <c r="D99" s="11"/>
      <c r="E99" s="11"/>
      <c r="F99" s="10"/>
      <c r="G99" s="3"/>
      <c r="H99" s="77"/>
      <c r="J99" s="76"/>
      <c r="M99" s="77"/>
    </row>
    <row r="100" spans="2:13" x14ac:dyDescent="0.2">
      <c r="B100" s="76"/>
      <c r="C100" s="2"/>
      <c r="D100" s="11"/>
      <c r="E100" s="11"/>
      <c r="F100" s="96">
        <f>SUM(F93:F99)</f>
        <v>0</v>
      </c>
      <c r="G100" s="2"/>
      <c r="H100" s="77"/>
      <c r="J100" s="76"/>
      <c r="M100" s="77"/>
    </row>
    <row r="101" spans="2:13" x14ac:dyDescent="0.2">
      <c r="B101" s="76"/>
      <c r="C101" s="2"/>
      <c r="D101" s="11"/>
      <c r="E101" s="11"/>
      <c r="F101" s="11"/>
      <c r="G101" s="2"/>
      <c r="H101" s="77"/>
      <c r="J101" s="76"/>
      <c r="M101" s="77"/>
    </row>
    <row r="102" spans="2:13" x14ac:dyDescent="0.2">
      <c r="B102" s="76"/>
      <c r="C102" s="2"/>
      <c r="D102" s="11"/>
      <c r="E102" s="11"/>
      <c r="F102" s="11"/>
      <c r="G102" s="2"/>
      <c r="H102" s="77"/>
      <c r="J102" s="76"/>
      <c r="M102" s="77"/>
    </row>
    <row r="103" spans="2:13" x14ac:dyDescent="0.2">
      <c r="B103" s="76"/>
      <c r="C103" s="2"/>
      <c r="D103" s="11"/>
      <c r="E103" s="11"/>
      <c r="F103" s="11"/>
      <c r="G103" s="2"/>
      <c r="H103" s="77"/>
      <c r="J103" s="76"/>
      <c r="M103" s="77"/>
    </row>
    <row r="104" spans="2:13" x14ac:dyDescent="0.2">
      <c r="B104" s="76"/>
      <c r="C104" s="3" t="s">
        <v>52</v>
      </c>
      <c r="D104" s="91">
        <f>F90</f>
        <v>0</v>
      </c>
      <c r="E104" s="97">
        <f>F100</f>
        <v>0</v>
      </c>
      <c r="F104" s="98">
        <f>SUM(D104-E104)</f>
        <v>0</v>
      </c>
      <c r="G104" s="2"/>
      <c r="H104" s="77"/>
      <c r="J104" s="76"/>
      <c r="M104" s="77"/>
    </row>
    <row r="105" spans="2:13" ht="13.5" thickBot="1" x14ac:dyDescent="0.25">
      <c r="B105" s="83"/>
      <c r="C105" s="84"/>
      <c r="D105" s="340"/>
      <c r="E105" s="340"/>
      <c r="F105" s="340"/>
      <c r="G105" s="84"/>
      <c r="H105" s="85"/>
      <c r="J105" s="83"/>
      <c r="K105" s="84"/>
      <c r="L105" s="84"/>
      <c r="M105" s="85"/>
    </row>
  </sheetData>
  <phoneticPr fontId="2" type="noConversion"/>
  <pageMargins left="0" right="0" top="0" bottom="0" header="0" footer="0"/>
  <pageSetup paperSize="9" orientation="portrait" horizontalDpi="4294967292" verticalDpi="4294967292" r:id="rId1"/>
  <extLst>
    <ext xmlns:mx="http://schemas.microsoft.com/office/mac/excel/2008/main" uri="http://schemas.microsoft.com/office/mac/excel/2008/main">
      <mx:PLV Mode="1" OnePage="0" WScale="0"/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published="0"/>
  <dimension ref="A1:Q70"/>
  <sheetViews>
    <sheetView workbookViewId="0">
      <pane ySplit="1" topLeftCell="A18" activePane="bottomLeft" state="frozen"/>
      <selection pane="bottomLeft" activeCell="O24" sqref="O24"/>
    </sheetView>
  </sheetViews>
  <sheetFormatPr baseColWidth="10" defaultRowHeight="12.75" x14ac:dyDescent="0.2"/>
  <cols>
    <col min="1" max="1" width="4.875" bestFit="1" customWidth="1"/>
  </cols>
  <sheetData>
    <row r="1" spans="1:17" ht="16.5" thickBot="1" x14ac:dyDescent="0.3">
      <c r="A1" s="120">
        <v>2026</v>
      </c>
      <c r="B1" s="121" t="s">
        <v>60</v>
      </c>
      <c r="C1" s="121" t="s">
        <v>61</v>
      </c>
      <c r="D1" s="121" t="s">
        <v>62</v>
      </c>
      <c r="E1" s="121" t="s">
        <v>63</v>
      </c>
      <c r="F1" s="121" t="s">
        <v>64</v>
      </c>
      <c r="G1" s="121" t="s">
        <v>65</v>
      </c>
      <c r="H1" s="121" t="s">
        <v>66</v>
      </c>
      <c r="I1" s="121" t="s">
        <v>67</v>
      </c>
      <c r="J1" s="121" t="s">
        <v>68</v>
      </c>
      <c r="K1" s="8" t="s">
        <v>69</v>
      </c>
      <c r="L1" s="121" t="s">
        <v>70</v>
      </c>
      <c r="M1" s="121" t="s">
        <v>71</v>
      </c>
      <c r="N1" s="102"/>
      <c r="O1" s="102"/>
      <c r="P1" s="102"/>
      <c r="Q1" s="2"/>
    </row>
    <row r="2" spans="1:17" ht="15.75" x14ac:dyDescent="0.25">
      <c r="A2" s="2"/>
      <c r="N2" s="102"/>
      <c r="O2" s="102"/>
      <c r="Q2" s="2"/>
    </row>
    <row r="3" spans="1:17" ht="15.75" x14ac:dyDescent="0.25">
      <c r="A3" s="2"/>
      <c r="B3" s="102"/>
      <c r="C3" s="102"/>
      <c r="D3" s="102"/>
      <c r="E3" s="102"/>
      <c r="F3" s="102"/>
      <c r="G3" s="102"/>
      <c r="H3" s="102"/>
      <c r="I3" s="102"/>
      <c r="J3" s="102"/>
      <c r="K3" s="2"/>
      <c r="L3" s="102"/>
      <c r="M3" s="102"/>
      <c r="N3" s="102"/>
      <c r="O3" s="102"/>
      <c r="P3" s="102"/>
      <c r="Q3" s="104"/>
    </row>
    <row r="4" spans="1:17" ht="15.75" x14ac:dyDescent="0.25">
      <c r="A4" s="3">
        <v>1</v>
      </c>
      <c r="B4" s="29">
        <f>'JANV 2026'!AL34</f>
        <v>0</v>
      </c>
      <c r="C4" s="29">
        <f>'FEVRIER 2026'!AL34</f>
        <v>0</v>
      </c>
      <c r="D4" s="33">
        <f>'MARS 2026'!AL33</f>
        <v>0</v>
      </c>
      <c r="E4" s="29">
        <f>'AVRIL 2026'!AL33</f>
        <v>0</v>
      </c>
      <c r="F4" s="29">
        <f>'MAI 2026'!AL33</f>
        <v>0</v>
      </c>
      <c r="G4" s="33">
        <f>'JUIN 2026'!AL33</f>
        <v>40.92</v>
      </c>
      <c r="H4" s="33">
        <f>'JUILLET 2026'!AL33</f>
        <v>0</v>
      </c>
      <c r="I4" s="33">
        <f>'AOUT 2026'!AL33</f>
        <v>0</v>
      </c>
      <c r="J4" s="33">
        <f>'SEPT 2026'!AL33</f>
        <v>0</v>
      </c>
      <c r="K4" s="29">
        <f>'OCT 2026'!AL33</f>
        <v>0</v>
      </c>
      <c r="L4" s="33">
        <f>'NOV 2026'!AL33</f>
        <v>0</v>
      </c>
      <c r="M4" s="309">
        <f>'DEC 2026'!AL33</f>
        <v>0</v>
      </c>
      <c r="N4" s="116"/>
      <c r="O4" s="118"/>
      <c r="P4" s="106"/>
      <c r="Q4" s="117">
        <v>1</v>
      </c>
    </row>
    <row r="5" spans="1:17" ht="15.75" x14ac:dyDescent="0.25">
      <c r="A5" s="3">
        <v>2</v>
      </c>
      <c r="B5" s="29">
        <f>'JANV 2026'!AL35</f>
        <v>0</v>
      </c>
      <c r="C5" s="29">
        <f>'FEVRIER 2026'!AL35</f>
        <v>0</v>
      </c>
      <c r="D5" s="33">
        <f>'MARS 2026'!AL34</f>
        <v>0</v>
      </c>
      <c r="E5" s="29">
        <f>'AVRIL 2026'!AL34</f>
        <v>0</v>
      </c>
      <c r="F5" s="29">
        <f>'MAI 2026'!AL34</f>
        <v>0</v>
      </c>
      <c r="G5" s="33">
        <f>'JUIN 2026'!AL34</f>
        <v>450.73</v>
      </c>
      <c r="H5" s="33">
        <f>'JUILLET 2026'!AL34</f>
        <v>0</v>
      </c>
      <c r="I5" s="33">
        <f>'AOUT 2026'!AL34</f>
        <v>0</v>
      </c>
      <c r="J5" s="33">
        <f>'SEPT 2026'!AL34</f>
        <v>0</v>
      </c>
      <c r="K5" s="29">
        <f>'OCT 2026'!AL34</f>
        <v>0</v>
      </c>
      <c r="L5" s="33">
        <f>'NOV 2026'!AL34</f>
        <v>0</v>
      </c>
      <c r="M5" s="309">
        <f>'DEC 2026'!AL34</f>
        <v>0</v>
      </c>
      <c r="N5" s="116"/>
      <c r="O5" s="118"/>
      <c r="P5" s="106"/>
      <c r="Q5" s="117">
        <v>2</v>
      </c>
    </row>
    <row r="6" spans="1:17" ht="15.75" x14ac:dyDescent="0.25">
      <c r="A6" s="3">
        <v>3</v>
      </c>
      <c r="B6" s="29">
        <f>'JANV 2026'!AL36</f>
        <v>0</v>
      </c>
      <c r="C6" s="29">
        <f>'FEVRIER 2026'!AL36</f>
        <v>0</v>
      </c>
      <c r="D6" s="33">
        <f>'MARS 2026'!AL35</f>
        <v>0</v>
      </c>
      <c r="E6" s="29">
        <f>'AVRIL 2026'!AL35</f>
        <v>0</v>
      </c>
      <c r="F6" s="29">
        <f>'MAI 2026'!AL35</f>
        <v>0</v>
      </c>
      <c r="G6" s="33">
        <f>'JUIN 2026'!AL35</f>
        <v>518.14</v>
      </c>
      <c r="H6" s="33">
        <f>'JUILLET 2026'!AL35</f>
        <v>0</v>
      </c>
      <c r="I6" s="33">
        <f>'AOUT 2026'!AL35</f>
        <v>0</v>
      </c>
      <c r="J6" s="33">
        <f>'SEPT 2026'!AL35</f>
        <v>0</v>
      </c>
      <c r="K6" s="29">
        <f>'OCT 2026'!AL35</f>
        <v>0</v>
      </c>
      <c r="L6" s="33">
        <f>'NOV 2026'!AL35</f>
        <v>0</v>
      </c>
      <c r="M6" s="309">
        <f>'DEC 2026'!AL35</f>
        <v>0</v>
      </c>
      <c r="N6" s="116"/>
      <c r="O6" s="118"/>
      <c r="P6" s="106"/>
      <c r="Q6" s="117">
        <v>3</v>
      </c>
    </row>
    <row r="7" spans="1:17" ht="15.75" x14ac:dyDescent="0.25">
      <c r="A7" s="3">
        <v>4</v>
      </c>
      <c r="B7" s="29">
        <f>'JANV 2026'!AL37</f>
        <v>0</v>
      </c>
      <c r="C7" s="29">
        <f>'FEVRIER 2026'!AL37</f>
        <v>0</v>
      </c>
      <c r="D7" s="33">
        <f>'MARS 2026'!AL36</f>
        <v>0</v>
      </c>
      <c r="E7" s="29">
        <f>'AVRIL 2026'!AL36</f>
        <v>0</v>
      </c>
      <c r="F7" s="29">
        <f>'MAI 2026'!AL36</f>
        <v>0</v>
      </c>
      <c r="G7" s="33">
        <f>'JUIN 2026'!AL36</f>
        <v>168</v>
      </c>
      <c r="H7" s="33">
        <f>'JUILLET 2026'!AL36</f>
        <v>0</v>
      </c>
      <c r="I7" s="33">
        <f>'AOUT 2026'!AL36</f>
        <v>0</v>
      </c>
      <c r="J7" s="33">
        <f>'SEPT 2026'!AL36</f>
        <v>0</v>
      </c>
      <c r="K7" s="29">
        <f>'OCT 2026'!AL36</f>
        <v>0</v>
      </c>
      <c r="L7" s="33">
        <f>'NOV 2026'!AL36</f>
        <v>0</v>
      </c>
      <c r="M7" s="309">
        <f>'DEC 2026'!AL36</f>
        <v>0</v>
      </c>
      <c r="N7" s="116"/>
      <c r="O7" s="118"/>
      <c r="P7" s="106"/>
      <c r="Q7" s="117">
        <v>4</v>
      </c>
    </row>
    <row r="8" spans="1:17" ht="15.75" x14ac:dyDescent="0.25">
      <c r="A8" s="3">
        <v>5</v>
      </c>
      <c r="B8" s="29">
        <f>'JANV 2026'!AL38</f>
        <v>0</v>
      </c>
      <c r="C8" s="29">
        <f>'FEVRIER 2026'!AL38</f>
        <v>0</v>
      </c>
      <c r="D8" s="33">
        <f>'MARS 2026'!AL37</f>
        <v>0</v>
      </c>
      <c r="E8" s="29">
        <f>'AVRIL 2026'!AL37</f>
        <v>0</v>
      </c>
      <c r="F8" s="29">
        <f>'MAI 2026'!AL37</f>
        <v>0</v>
      </c>
      <c r="G8" s="33">
        <f>'JUIN 2026'!AL37</f>
        <v>0</v>
      </c>
      <c r="H8" s="33">
        <f>'JUILLET 2026'!AL37</f>
        <v>0</v>
      </c>
      <c r="I8" s="33">
        <f>'AOUT 2026'!AL37</f>
        <v>0</v>
      </c>
      <c r="J8" s="33">
        <f>'SEPT 2026'!AL37</f>
        <v>0</v>
      </c>
      <c r="K8" s="29">
        <f>'OCT 2026'!AL37</f>
        <v>0</v>
      </c>
      <c r="L8" s="33">
        <f>'NOV 2026'!AL37</f>
        <v>0</v>
      </c>
      <c r="M8" s="309">
        <f>'DEC 2026'!AL37</f>
        <v>0</v>
      </c>
      <c r="N8" s="116"/>
      <c r="O8" s="118"/>
      <c r="P8" s="106"/>
      <c r="Q8" s="117">
        <v>5</v>
      </c>
    </row>
    <row r="9" spans="1:17" ht="15.75" x14ac:dyDescent="0.25">
      <c r="A9" s="3">
        <v>6</v>
      </c>
      <c r="B9" s="29">
        <f>'JANV 2026'!AL39</f>
        <v>0</v>
      </c>
      <c r="C9" s="29">
        <f>'FEVRIER 2026'!AL39</f>
        <v>0</v>
      </c>
      <c r="D9" s="33">
        <f>'MARS 2026'!AL38</f>
        <v>0</v>
      </c>
      <c r="E9" s="29">
        <f>'AVRIL 2026'!AL38</f>
        <v>0</v>
      </c>
      <c r="F9" s="29">
        <f>'MAI 2026'!AL38</f>
        <v>0</v>
      </c>
      <c r="G9" s="33">
        <f>'JUIN 2026'!AL38</f>
        <v>0</v>
      </c>
      <c r="H9" s="33">
        <f>'JUILLET 2026'!AL38</f>
        <v>0</v>
      </c>
      <c r="I9" s="33">
        <f>'AOUT 2026'!AL38</f>
        <v>0</v>
      </c>
      <c r="J9" s="33">
        <f>'SEPT 2026'!AL38</f>
        <v>0</v>
      </c>
      <c r="K9" s="29">
        <f>'OCT 2026'!AL38</f>
        <v>0</v>
      </c>
      <c r="L9" s="33">
        <f>'NOV 2026'!AL38</f>
        <v>0</v>
      </c>
      <c r="M9" s="309">
        <f>'DEC 2026'!AL38</f>
        <v>0</v>
      </c>
      <c r="N9" s="116"/>
      <c r="O9" s="118"/>
      <c r="P9" s="106"/>
      <c r="Q9" s="117">
        <v>6</v>
      </c>
    </row>
    <row r="10" spans="1:17" ht="15.75" x14ac:dyDescent="0.25">
      <c r="A10" s="3">
        <v>7</v>
      </c>
      <c r="B10" s="29">
        <f>'JANV 2026'!AL40</f>
        <v>0</v>
      </c>
      <c r="C10" s="29">
        <f>'FEVRIER 2026'!AL40</f>
        <v>0</v>
      </c>
      <c r="D10" s="33">
        <f>'MARS 2026'!AL39</f>
        <v>0</v>
      </c>
      <c r="E10" s="29">
        <f>'AVRIL 2026'!AL39</f>
        <v>0</v>
      </c>
      <c r="F10" s="29">
        <f>'MAI 2026'!AL39</f>
        <v>0</v>
      </c>
      <c r="G10" s="33">
        <f>'JUIN 2026'!AL39</f>
        <v>0</v>
      </c>
      <c r="H10" s="33">
        <f>'JUILLET 2026'!AL39</f>
        <v>0</v>
      </c>
      <c r="I10" s="33">
        <f>'AOUT 2026'!AL39</f>
        <v>0</v>
      </c>
      <c r="J10" s="33">
        <f>'SEPT 2026'!AL39</f>
        <v>0</v>
      </c>
      <c r="K10" s="29">
        <f>'OCT 2026'!AL39</f>
        <v>0</v>
      </c>
      <c r="L10" s="33">
        <f>'NOV 2026'!AL39</f>
        <v>0</v>
      </c>
      <c r="M10" s="309">
        <f>'DEC 2026'!AL39</f>
        <v>0</v>
      </c>
      <c r="N10" s="116"/>
      <c r="O10" s="118"/>
      <c r="P10" s="106"/>
      <c r="Q10" s="117">
        <v>7</v>
      </c>
    </row>
    <row r="11" spans="1:17" ht="15.75" x14ac:dyDescent="0.25">
      <c r="A11" s="3">
        <v>8</v>
      </c>
      <c r="B11" s="29">
        <f>'JANV 2026'!AL41</f>
        <v>0</v>
      </c>
      <c r="C11" s="29">
        <f>'FEVRIER 2026'!AL41</f>
        <v>0</v>
      </c>
      <c r="D11" s="33">
        <f>'MARS 2026'!AL40</f>
        <v>0</v>
      </c>
      <c r="E11" s="29">
        <f>'AVRIL 2026'!AL40</f>
        <v>0</v>
      </c>
      <c r="F11" s="29">
        <f>'MAI 2026'!AL40</f>
        <v>0</v>
      </c>
      <c r="G11" s="33">
        <f>'JUIN 2026'!AL40</f>
        <v>0</v>
      </c>
      <c r="H11" s="33">
        <f>'JUILLET 2026'!AL40</f>
        <v>0</v>
      </c>
      <c r="I11" s="33">
        <f>'AOUT 2026'!AL40</f>
        <v>0</v>
      </c>
      <c r="J11" s="33">
        <f>'SEPT 2026'!AL40</f>
        <v>0</v>
      </c>
      <c r="K11" s="29">
        <f>'OCT 2026'!AL40</f>
        <v>0</v>
      </c>
      <c r="L11" s="33">
        <f>'NOV 2026'!AL40</f>
        <v>0</v>
      </c>
      <c r="M11" s="309">
        <f>'DEC 2026'!AL40</f>
        <v>0</v>
      </c>
      <c r="N11" s="116"/>
      <c r="O11" s="118"/>
      <c r="P11" s="106"/>
      <c r="Q11" s="117">
        <v>8</v>
      </c>
    </row>
    <row r="12" spans="1:17" ht="15.75" x14ac:dyDescent="0.25">
      <c r="A12" s="3">
        <v>9</v>
      </c>
      <c r="B12" s="29">
        <f>'JANV 2026'!AL42</f>
        <v>0</v>
      </c>
      <c r="C12" s="29">
        <f>'FEVRIER 2026'!AL42</f>
        <v>0</v>
      </c>
      <c r="D12" s="33">
        <f>'MARS 2026'!AL41</f>
        <v>0</v>
      </c>
      <c r="E12" s="29">
        <f>'AVRIL 2026'!AL41</f>
        <v>0</v>
      </c>
      <c r="F12" s="29">
        <f>'MAI 2026'!AL41</f>
        <v>0</v>
      </c>
      <c r="G12" s="33">
        <f>'JUIN 2026'!AL41</f>
        <v>0</v>
      </c>
      <c r="H12" s="33">
        <f>'JUILLET 2026'!AL41</f>
        <v>0</v>
      </c>
      <c r="I12" s="33">
        <f>'AOUT 2026'!AL41</f>
        <v>0</v>
      </c>
      <c r="J12" s="33">
        <f>'SEPT 2026'!AL41</f>
        <v>0</v>
      </c>
      <c r="K12" s="29">
        <f>'OCT 2026'!AL41</f>
        <v>0</v>
      </c>
      <c r="L12" s="33">
        <f>'NOV 2026'!AL41</f>
        <v>0</v>
      </c>
      <c r="M12" s="309">
        <f>'DEC 2026'!AL41</f>
        <v>0</v>
      </c>
      <c r="N12" s="116"/>
      <c r="O12" s="118"/>
      <c r="P12" s="106"/>
      <c r="Q12" s="117">
        <v>9</v>
      </c>
    </row>
    <row r="13" spans="1:17" ht="15.75" x14ac:dyDescent="0.25">
      <c r="A13" s="3">
        <v>10</v>
      </c>
      <c r="B13" s="29">
        <f>'JANV 2026'!AL43</f>
        <v>0</v>
      </c>
      <c r="C13" s="29">
        <f>'FEVRIER 2026'!AL43</f>
        <v>0</v>
      </c>
      <c r="D13" s="33">
        <f>'MARS 2026'!AL42</f>
        <v>0</v>
      </c>
      <c r="E13" s="29">
        <f>'AVRIL 2026'!AL42</f>
        <v>0</v>
      </c>
      <c r="F13" s="29">
        <f>'MAI 2026'!AL42</f>
        <v>0</v>
      </c>
      <c r="G13" s="33">
        <f>'JUIN 2026'!AL42</f>
        <v>0</v>
      </c>
      <c r="H13" s="33">
        <f>'JUILLET 2026'!AL42</f>
        <v>0</v>
      </c>
      <c r="I13" s="33">
        <f>'AOUT 2026'!AL42</f>
        <v>0</v>
      </c>
      <c r="J13" s="33">
        <f>'SEPT 2026'!AL42</f>
        <v>0</v>
      </c>
      <c r="K13" s="29">
        <f>'OCT 2026'!AL42</f>
        <v>0</v>
      </c>
      <c r="L13" s="33">
        <f>'NOV 2026'!AL42</f>
        <v>0</v>
      </c>
      <c r="M13" s="309">
        <f>'DEC 2026'!AL42</f>
        <v>0</v>
      </c>
      <c r="N13" s="116"/>
      <c r="O13" s="118"/>
      <c r="P13" s="106"/>
      <c r="Q13" s="117">
        <v>10</v>
      </c>
    </row>
    <row r="14" spans="1:17" ht="15.75" x14ac:dyDescent="0.25">
      <c r="A14" s="3">
        <v>11</v>
      </c>
      <c r="B14" s="29">
        <f>'JANV 2026'!AL44</f>
        <v>0</v>
      </c>
      <c r="C14" s="29">
        <f>'FEVRIER 2026'!AL44</f>
        <v>0</v>
      </c>
      <c r="D14" s="33">
        <f>'MARS 2026'!AL43</f>
        <v>0</v>
      </c>
      <c r="E14" s="29">
        <f>'AVRIL 2026'!AL43</f>
        <v>0</v>
      </c>
      <c r="F14" s="29">
        <f>'MAI 2026'!AL43</f>
        <v>0</v>
      </c>
      <c r="G14" s="33">
        <f>'JUIN 2026'!AL43</f>
        <v>0</v>
      </c>
      <c r="H14" s="33">
        <f>'JUILLET 2026'!AL43</f>
        <v>0</v>
      </c>
      <c r="I14" s="33">
        <f>'AOUT 2026'!AL43</f>
        <v>0</v>
      </c>
      <c r="J14" s="33">
        <f>'SEPT 2026'!AL43</f>
        <v>0</v>
      </c>
      <c r="K14" s="29">
        <f>'OCT 2026'!AL43</f>
        <v>0</v>
      </c>
      <c r="L14" s="33">
        <f>'NOV 2026'!AL43</f>
        <v>0</v>
      </c>
      <c r="M14" s="309">
        <f>'DEC 2026'!AL43</f>
        <v>0</v>
      </c>
      <c r="N14" s="116"/>
      <c r="O14" s="118"/>
      <c r="P14" s="106"/>
      <c r="Q14" s="117">
        <v>11</v>
      </c>
    </row>
    <row r="15" spans="1:17" ht="15.75" x14ac:dyDescent="0.25">
      <c r="A15" s="3">
        <v>12</v>
      </c>
      <c r="B15" s="29">
        <f>'JANV 2026'!AL45</f>
        <v>0</v>
      </c>
      <c r="C15" s="29">
        <f>'FEVRIER 2026'!AL45</f>
        <v>0</v>
      </c>
      <c r="D15" s="33">
        <f>'MARS 2026'!AL44</f>
        <v>0</v>
      </c>
      <c r="E15" s="29">
        <f>'AVRIL 2026'!AL44</f>
        <v>0</v>
      </c>
      <c r="F15" s="29">
        <f>'MAI 2026'!AL44</f>
        <v>0</v>
      </c>
      <c r="G15" s="33">
        <f>'JUIN 2026'!AL44</f>
        <v>0</v>
      </c>
      <c r="H15" s="33">
        <f>'JUILLET 2026'!AL44</f>
        <v>0</v>
      </c>
      <c r="I15" s="33">
        <f>'AOUT 2026'!AL44</f>
        <v>0</v>
      </c>
      <c r="J15" s="33">
        <f>'SEPT 2026'!AL44</f>
        <v>0</v>
      </c>
      <c r="K15" s="29">
        <f>'OCT 2026'!AL44</f>
        <v>0</v>
      </c>
      <c r="L15" s="33">
        <f>'NOV 2026'!AL44</f>
        <v>0</v>
      </c>
      <c r="M15" s="309">
        <f>'DEC 2026'!AL44</f>
        <v>0</v>
      </c>
      <c r="N15" s="116"/>
      <c r="O15" s="118"/>
      <c r="P15" s="106"/>
      <c r="Q15" s="117">
        <v>12</v>
      </c>
    </row>
    <row r="16" spans="1:17" ht="15.75" x14ac:dyDescent="0.25">
      <c r="A16" s="3">
        <v>13</v>
      </c>
      <c r="B16" s="29">
        <f>'JANV 2026'!AL46</f>
        <v>0</v>
      </c>
      <c r="C16" s="29">
        <f>'FEVRIER 2026'!AL46</f>
        <v>0</v>
      </c>
      <c r="D16" s="33">
        <f>'MARS 2026'!AL45</f>
        <v>0</v>
      </c>
      <c r="E16" s="29">
        <f>'AVRIL 2026'!AL45</f>
        <v>0</v>
      </c>
      <c r="F16" s="29">
        <f>'MAI 2026'!AL45</f>
        <v>0</v>
      </c>
      <c r="G16" s="33">
        <f>'JUIN 2026'!AL45</f>
        <v>0</v>
      </c>
      <c r="H16" s="33">
        <f>'JUILLET 2026'!AL45</f>
        <v>0</v>
      </c>
      <c r="I16" s="33">
        <f>'AOUT 2026'!AL45</f>
        <v>0</v>
      </c>
      <c r="J16" s="33">
        <f>'SEPT 2026'!AL45</f>
        <v>0</v>
      </c>
      <c r="K16" s="29">
        <f>'OCT 2026'!AL45</f>
        <v>0</v>
      </c>
      <c r="L16" s="33">
        <f>'NOV 2026'!AL45</f>
        <v>0</v>
      </c>
      <c r="M16" s="309">
        <f>'DEC 2026'!AL45</f>
        <v>0</v>
      </c>
      <c r="N16" s="116"/>
      <c r="O16" s="118"/>
      <c r="P16" s="106"/>
      <c r="Q16" s="117">
        <v>13</v>
      </c>
    </row>
    <row r="17" spans="1:17" ht="15.75" x14ac:dyDescent="0.25">
      <c r="A17" s="3">
        <v>14</v>
      </c>
      <c r="B17" s="29">
        <f>'JANV 2026'!AL47</f>
        <v>0</v>
      </c>
      <c r="C17" s="29">
        <f>'FEVRIER 2026'!AL47</f>
        <v>0</v>
      </c>
      <c r="D17" s="33">
        <f>'MARS 2026'!AL46</f>
        <v>0</v>
      </c>
      <c r="E17" s="29">
        <f>'AVRIL 2026'!AL46</f>
        <v>0</v>
      </c>
      <c r="F17" s="29">
        <f>'MAI 2026'!AL46</f>
        <v>0</v>
      </c>
      <c r="G17" s="33">
        <f>'JUIN 2026'!AL46</f>
        <v>0</v>
      </c>
      <c r="H17" s="33">
        <f>'JUILLET 2026'!AL46</f>
        <v>0</v>
      </c>
      <c r="I17" s="33">
        <f>'AOUT 2026'!AL46</f>
        <v>0</v>
      </c>
      <c r="J17" s="33">
        <f>'SEPT 2026'!AL46</f>
        <v>0</v>
      </c>
      <c r="K17" s="29">
        <f>'OCT 2026'!AL46</f>
        <v>0</v>
      </c>
      <c r="L17" s="33">
        <f>'NOV 2026'!AL46</f>
        <v>0</v>
      </c>
      <c r="M17" s="309">
        <f>'DEC 2026'!AL46</f>
        <v>0</v>
      </c>
      <c r="N17" s="116"/>
      <c r="O17" s="118"/>
      <c r="P17" s="106"/>
      <c r="Q17" s="117">
        <v>14</v>
      </c>
    </row>
    <row r="18" spans="1:17" ht="15.75" x14ac:dyDescent="0.25">
      <c r="A18" s="3">
        <v>15</v>
      </c>
      <c r="B18" s="29">
        <f>'JANV 2026'!AL48</f>
        <v>0</v>
      </c>
      <c r="C18" s="29">
        <f>'FEVRIER 2026'!AL48</f>
        <v>0</v>
      </c>
      <c r="D18" s="33">
        <f>'MARS 2026'!AL47</f>
        <v>0</v>
      </c>
      <c r="E18" s="29">
        <f>'AVRIL 2026'!AL47</f>
        <v>0</v>
      </c>
      <c r="F18" s="29">
        <f>'MAI 2026'!AL47</f>
        <v>0</v>
      </c>
      <c r="G18" s="33">
        <f>'JUIN 2026'!AL47</f>
        <v>0</v>
      </c>
      <c r="H18" s="33">
        <f>'JUILLET 2026'!AL47</f>
        <v>0</v>
      </c>
      <c r="I18" s="33">
        <f>'AOUT 2026'!AL47</f>
        <v>0</v>
      </c>
      <c r="J18" s="33">
        <f>'SEPT 2026'!AL47</f>
        <v>0</v>
      </c>
      <c r="K18" s="29">
        <f>'OCT 2026'!AL47</f>
        <v>0</v>
      </c>
      <c r="L18" s="33">
        <f>'NOV 2026'!AL47</f>
        <v>0</v>
      </c>
      <c r="M18" s="309">
        <f>'DEC 2026'!AL47</f>
        <v>0</v>
      </c>
      <c r="N18" s="116"/>
      <c r="O18" s="118"/>
      <c r="P18" s="106"/>
      <c r="Q18" s="117">
        <v>15</v>
      </c>
    </row>
    <row r="19" spans="1:17" ht="15.75" x14ac:dyDescent="0.25">
      <c r="A19" s="3">
        <v>16</v>
      </c>
      <c r="B19" s="29">
        <f>'JANV 2026'!AL49</f>
        <v>0</v>
      </c>
      <c r="C19" s="29">
        <f>'FEVRIER 2026'!AL49</f>
        <v>0</v>
      </c>
      <c r="D19" s="33">
        <f>'MARS 2026'!AL48</f>
        <v>0</v>
      </c>
      <c r="E19" s="29">
        <f>'AVRIL 2026'!AL48</f>
        <v>0</v>
      </c>
      <c r="F19" s="29">
        <f>'MAI 2026'!AL48</f>
        <v>0</v>
      </c>
      <c r="G19" s="33">
        <f>'JUIN 2026'!AL48</f>
        <v>0</v>
      </c>
      <c r="H19" s="33">
        <f>'JUILLET 2026'!AL48</f>
        <v>0</v>
      </c>
      <c r="I19" s="33">
        <f>'AOUT 2026'!AL48</f>
        <v>0</v>
      </c>
      <c r="J19" s="33">
        <f>'SEPT 2026'!AL48</f>
        <v>0</v>
      </c>
      <c r="K19" s="29">
        <f>'OCT 2026'!AL48</f>
        <v>0</v>
      </c>
      <c r="L19" s="33">
        <f>'NOV 2026'!AL48</f>
        <v>0</v>
      </c>
      <c r="M19" s="309">
        <f>'DEC 2026'!AL48</f>
        <v>0</v>
      </c>
      <c r="N19" s="116"/>
      <c r="O19" s="118"/>
      <c r="P19" s="106"/>
      <c r="Q19" s="117">
        <v>16</v>
      </c>
    </row>
    <row r="20" spans="1:17" ht="15.75" x14ac:dyDescent="0.25">
      <c r="A20" s="3">
        <v>17</v>
      </c>
      <c r="B20" s="29">
        <f>'JANV 2026'!AL50</f>
        <v>0</v>
      </c>
      <c r="C20" s="29">
        <f>'FEVRIER 2026'!AL50</f>
        <v>0</v>
      </c>
      <c r="D20" s="33">
        <f>'MARS 2026'!AL49</f>
        <v>0</v>
      </c>
      <c r="E20" s="29">
        <f>'AVRIL 2026'!AL49</f>
        <v>0</v>
      </c>
      <c r="F20" s="29">
        <f>'MAI 2026'!AL49</f>
        <v>0</v>
      </c>
      <c r="G20" s="33">
        <f>'JUIN 2026'!AL49</f>
        <v>0</v>
      </c>
      <c r="H20" s="33">
        <f>'JUILLET 2026'!AL49</f>
        <v>0</v>
      </c>
      <c r="I20" s="33">
        <f>'AOUT 2026'!AL49</f>
        <v>0</v>
      </c>
      <c r="J20" s="33">
        <f>'SEPT 2026'!AL49</f>
        <v>0</v>
      </c>
      <c r="K20" s="29">
        <f>'OCT 2026'!AL49</f>
        <v>0</v>
      </c>
      <c r="L20" s="33">
        <f>'NOV 2026'!AL49</f>
        <v>0</v>
      </c>
      <c r="M20" s="309">
        <f>'DEC 2026'!AL49</f>
        <v>0</v>
      </c>
      <c r="N20" s="116"/>
      <c r="O20" s="118"/>
      <c r="P20" s="106"/>
      <c r="Q20" s="117">
        <v>17</v>
      </c>
    </row>
    <row r="21" spans="1:17" ht="15.75" x14ac:dyDescent="0.25">
      <c r="A21" s="3">
        <v>18</v>
      </c>
      <c r="B21" s="29">
        <f>'JANV 2026'!AL51</f>
        <v>0</v>
      </c>
      <c r="C21" s="29">
        <f>'FEVRIER 2026'!AL51</f>
        <v>0</v>
      </c>
      <c r="D21" s="33">
        <f>'MARS 2026'!AL50</f>
        <v>0</v>
      </c>
      <c r="E21" s="29">
        <f>'AVRIL 2026'!AL50</f>
        <v>0</v>
      </c>
      <c r="F21" s="29">
        <f>'MAI 2026'!AL50</f>
        <v>0</v>
      </c>
      <c r="G21" s="33">
        <f>'JUIN 2026'!AL50</f>
        <v>0</v>
      </c>
      <c r="H21" s="33">
        <f>'JUILLET 2026'!AL50</f>
        <v>0</v>
      </c>
      <c r="I21" s="33">
        <f>'AOUT 2026'!AL50</f>
        <v>0</v>
      </c>
      <c r="J21" s="33">
        <f>'SEPT 2026'!AL50</f>
        <v>0</v>
      </c>
      <c r="K21" s="29">
        <f>'OCT 2026'!AL50</f>
        <v>0</v>
      </c>
      <c r="L21" s="33">
        <f>'NOV 2026'!AL50</f>
        <v>0</v>
      </c>
      <c r="M21" s="309">
        <f>'DEC 2026'!AL50</f>
        <v>0</v>
      </c>
      <c r="N21" s="116"/>
      <c r="O21" s="118"/>
      <c r="P21" s="106"/>
      <c r="Q21" s="117">
        <v>18</v>
      </c>
    </row>
    <row r="22" spans="1:17" ht="15.75" x14ac:dyDescent="0.25">
      <c r="A22" s="3">
        <v>19</v>
      </c>
      <c r="B22" s="29">
        <f>'JANV 2026'!AL52</f>
        <v>0</v>
      </c>
      <c r="C22" s="29">
        <f>'FEVRIER 2026'!AL52</f>
        <v>0</v>
      </c>
      <c r="D22" s="33">
        <f>'MARS 2026'!AL51</f>
        <v>0</v>
      </c>
      <c r="E22" s="29">
        <f>'AVRIL 2026'!AL51</f>
        <v>0</v>
      </c>
      <c r="F22" s="29">
        <f>'MAI 2026'!AL51</f>
        <v>0</v>
      </c>
      <c r="G22" s="33">
        <f>'JUIN 2026'!AL51</f>
        <v>0</v>
      </c>
      <c r="H22" s="33">
        <f>'JUILLET 2026'!AL51</f>
        <v>0</v>
      </c>
      <c r="I22" s="33">
        <f>'AOUT 2026'!AL51</f>
        <v>0</v>
      </c>
      <c r="J22" s="33">
        <f>'SEPT 2026'!AL51</f>
        <v>0</v>
      </c>
      <c r="K22" s="29">
        <f>'OCT 2026'!AL51</f>
        <v>0</v>
      </c>
      <c r="L22" s="33">
        <f>'NOV 2026'!AL51</f>
        <v>0</v>
      </c>
      <c r="M22" s="309">
        <f>'DEC 2026'!AL51</f>
        <v>0</v>
      </c>
      <c r="N22" s="116"/>
      <c r="O22" s="118"/>
      <c r="P22" s="106"/>
      <c r="Q22" s="117">
        <v>19</v>
      </c>
    </row>
    <row r="23" spans="1:17" ht="15.75" x14ac:dyDescent="0.25">
      <c r="A23" s="3">
        <v>20</v>
      </c>
      <c r="B23" s="29">
        <f>'JANV 2026'!AL53</f>
        <v>0</v>
      </c>
      <c r="C23" s="29">
        <f>'FEVRIER 2026'!AL53</f>
        <v>0</v>
      </c>
      <c r="D23" s="33">
        <f>'MARS 2026'!AL52</f>
        <v>0</v>
      </c>
      <c r="E23" s="29">
        <f>'AVRIL 2026'!AL52</f>
        <v>0</v>
      </c>
      <c r="F23" s="29">
        <f>'MAI 2026'!AL52</f>
        <v>0</v>
      </c>
      <c r="G23" s="33">
        <f>'JUIN 2026'!AL52</f>
        <v>0</v>
      </c>
      <c r="H23" s="33">
        <f>'JUILLET 2026'!AL52</f>
        <v>0</v>
      </c>
      <c r="I23" s="33">
        <f>'AOUT 2026'!AL52</f>
        <v>0</v>
      </c>
      <c r="J23" s="33">
        <f>'SEPT 2026'!AL52</f>
        <v>0</v>
      </c>
      <c r="K23" s="29">
        <f>'OCT 2026'!AL52</f>
        <v>0</v>
      </c>
      <c r="L23" s="33">
        <f>'NOV 2026'!AL52</f>
        <v>0</v>
      </c>
      <c r="M23" s="309">
        <f>'DEC 2026'!AL52</f>
        <v>0</v>
      </c>
      <c r="N23" s="116"/>
      <c r="O23" s="118"/>
      <c r="P23" s="106"/>
      <c r="Q23" s="117">
        <v>20</v>
      </c>
    </row>
    <row r="24" spans="1:17" ht="15.75" x14ac:dyDescent="0.25">
      <c r="A24" s="3" t="s">
        <v>72</v>
      </c>
      <c r="B24" s="29">
        <f>'JANV 2026'!AL54</f>
        <v>0</v>
      </c>
      <c r="C24" s="29">
        <f>'FEVRIER 2026'!AL54</f>
        <v>0</v>
      </c>
      <c r="D24" s="33">
        <f>'MARS 2026'!AL53</f>
        <v>0</v>
      </c>
      <c r="E24" s="29">
        <f>'AVRIL 2026'!AL53</f>
        <v>0</v>
      </c>
      <c r="F24" s="29">
        <f>'MAI 2026'!AL53</f>
        <v>0</v>
      </c>
      <c r="G24" s="33">
        <f>'JUIN 2026'!AL53</f>
        <v>0</v>
      </c>
      <c r="H24" s="33">
        <f>'JUILLET 2026'!AL53</f>
        <v>0</v>
      </c>
      <c r="I24" s="33">
        <f>'AOUT 2026'!AL53</f>
        <v>0</v>
      </c>
      <c r="J24" s="33">
        <f>'SEPT 2026'!AL53</f>
        <v>0</v>
      </c>
      <c r="K24" s="29">
        <f>'OCT 2026'!AL53</f>
        <v>0</v>
      </c>
      <c r="L24" s="33">
        <f>'NOV 2026'!AL53</f>
        <v>0</v>
      </c>
      <c r="M24" s="309">
        <f>'DEC 2026'!AL53</f>
        <v>0</v>
      </c>
      <c r="N24" s="116"/>
      <c r="O24" s="118"/>
      <c r="P24" s="106"/>
      <c r="Q24" s="117">
        <v>21</v>
      </c>
    </row>
    <row r="25" spans="1:17" ht="15.75" x14ac:dyDescent="0.25">
      <c r="A25" s="3">
        <v>22</v>
      </c>
      <c r="B25" s="29">
        <f>'JANV 2026'!AL55</f>
        <v>0</v>
      </c>
      <c r="C25" s="29">
        <f>'FEVRIER 2026'!AL55</f>
        <v>0</v>
      </c>
      <c r="D25" s="33">
        <f>'MARS 2026'!AL54</f>
        <v>0</v>
      </c>
      <c r="E25" s="29">
        <f>'AVRIL 2026'!AL54</f>
        <v>0</v>
      </c>
      <c r="F25" s="29">
        <f>'MAI 2026'!AL54</f>
        <v>0</v>
      </c>
      <c r="G25" s="33">
        <f>'JUIN 2026'!AL54</f>
        <v>0</v>
      </c>
      <c r="H25" s="33">
        <f>'JUILLET 2026'!AL54</f>
        <v>0</v>
      </c>
      <c r="I25" s="33">
        <f>'AOUT 2026'!AL54</f>
        <v>0</v>
      </c>
      <c r="J25" s="33">
        <f>'SEPT 2026'!AL54</f>
        <v>0</v>
      </c>
      <c r="K25" s="29">
        <f>'OCT 2026'!AL54</f>
        <v>0</v>
      </c>
      <c r="L25" s="33">
        <f>'NOV 2026'!AL54</f>
        <v>0</v>
      </c>
      <c r="M25" s="309">
        <f>'DEC 2026'!AL54</f>
        <v>0</v>
      </c>
      <c r="N25" s="116"/>
      <c r="O25" s="118"/>
      <c r="P25" s="106"/>
      <c r="Q25" s="117">
        <v>22</v>
      </c>
    </row>
    <row r="26" spans="1:17" ht="15.75" x14ac:dyDescent="0.25">
      <c r="A26" s="3">
        <v>23</v>
      </c>
      <c r="B26" s="29">
        <f>'JANV 2026'!AL56</f>
        <v>0</v>
      </c>
      <c r="C26" s="29">
        <f>'FEVRIER 2026'!AL56</f>
        <v>0</v>
      </c>
      <c r="D26" s="33">
        <f>'MARS 2026'!AL55</f>
        <v>0</v>
      </c>
      <c r="E26" s="29">
        <f>'AVRIL 2026'!AL55</f>
        <v>0</v>
      </c>
      <c r="F26" s="29">
        <f>'MAI 2026'!AL55</f>
        <v>0</v>
      </c>
      <c r="G26" s="33">
        <f>'JUIN 2026'!AL55</f>
        <v>0</v>
      </c>
      <c r="H26" s="33">
        <f>'JUILLET 2026'!AL55</f>
        <v>0</v>
      </c>
      <c r="I26" s="33">
        <f>'AOUT 2026'!AL55</f>
        <v>0</v>
      </c>
      <c r="J26" s="33">
        <f>'SEPT 2026'!AL55</f>
        <v>0</v>
      </c>
      <c r="K26" s="29">
        <f>'OCT 2026'!AL55</f>
        <v>0</v>
      </c>
      <c r="L26" s="33">
        <f>'NOV 2026'!AL55</f>
        <v>0</v>
      </c>
      <c r="M26" s="309">
        <f>'DEC 2026'!AL55</f>
        <v>0</v>
      </c>
      <c r="N26" s="116"/>
      <c r="O26" s="118"/>
      <c r="P26" s="106"/>
      <c r="Q26" s="117">
        <v>23</v>
      </c>
    </row>
    <row r="27" spans="1:17" ht="15.75" x14ac:dyDescent="0.25">
      <c r="A27" s="3">
        <v>24</v>
      </c>
      <c r="B27" s="29">
        <f>'JANV 2026'!AL57</f>
        <v>0</v>
      </c>
      <c r="C27" s="29">
        <f>'FEVRIER 2026'!AL57</f>
        <v>0</v>
      </c>
      <c r="D27" s="33">
        <f>'MARS 2026'!AL56</f>
        <v>0</v>
      </c>
      <c r="E27" s="29">
        <f>'AVRIL 2026'!AL56</f>
        <v>0</v>
      </c>
      <c r="F27" s="29">
        <f>'MAI 2026'!AL56</f>
        <v>0</v>
      </c>
      <c r="G27" s="33">
        <f>'JUIN 2026'!AL56</f>
        <v>0</v>
      </c>
      <c r="H27" s="33">
        <f>'JUILLET 2026'!AL56</f>
        <v>0</v>
      </c>
      <c r="I27" s="33">
        <f>'AOUT 2026'!AL56</f>
        <v>0</v>
      </c>
      <c r="J27" s="33">
        <f>'SEPT 2026'!AL56</f>
        <v>0</v>
      </c>
      <c r="K27" s="29">
        <f>'OCT 2026'!AL56</f>
        <v>0</v>
      </c>
      <c r="L27" s="33">
        <f>'NOV 2026'!AL56</f>
        <v>0</v>
      </c>
      <c r="M27" s="309">
        <f>'DEC 2026'!AL56</f>
        <v>0</v>
      </c>
      <c r="N27" s="116"/>
      <c r="O27" s="118"/>
      <c r="P27" s="106"/>
      <c r="Q27" s="117">
        <v>24</v>
      </c>
    </row>
    <row r="28" spans="1:17" ht="15.75" x14ac:dyDescent="0.25">
      <c r="A28" s="3">
        <v>25</v>
      </c>
      <c r="B28" s="29">
        <f>'JANV 2026'!AL58</f>
        <v>0</v>
      </c>
      <c r="C28" s="29">
        <f>'FEVRIER 2026'!AL58</f>
        <v>0</v>
      </c>
      <c r="D28" s="33">
        <f>'MARS 2026'!AL57</f>
        <v>0</v>
      </c>
      <c r="E28" s="29">
        <f>'AVRIL 2026'!AL57</f>
        <v>0</v>
      </c>
      <c r="F28" s="29">
        <f>'MAI 2026'!AL57</f>
        <v>0</v>
      </c>
      <c r="G28" s="33">
        <f>'JUIN 2026'!AL57</f>
        <v>0</v>
      </c>
      <c r="H28" s="33">
        <f>'JUILLET 2026'!AL57</f>
        <v>0</v>
      </c>
      <c r="I28" s="33">
        <f>'AOUT 2026'!AL57</f>
        <v>0</v>
      </c>
      <c r="J28" s="33">
        <f>'SEPT 2026'!AL57</f>
        <v>0</v>
      </c>
      <c r="K28" s="29">
        <f>'OCT 2026'!AL57</f>
        <v>0</v>
      </c>
      <c r="L28" s="33">
        <f>'NOV 2026'!AL57</f>
        <v>0</v>
      </c>
      <c r="M28" s="309">
        <f>'DEC 2026'!AL57</f>
        <v>0</v>
      </c>
      <c r="N28" s="116"/>
      <c r="O28" s="118"/>
      <c r="P28" s="106"/>
      <c r="Q28" s="117">
        <v>25</v>
      </c>
    </row>
    <row r="29" spans="1:17" ht="15.75" x14ac:dyDescent="0.25">
      <c r="A29" s="3">
        <v>26</v>
      </c>
      <c r="B29" s="29">
        <f>'JANV 2026'!AL59</f>
        <v>0</v>
      </c>
      <c r="C29" s="29">
        <f>'FEVRIER 2026'!AL59</f>
        <v>0</v>
      </c>
      <c r="D29" s="33">
        <f>'MARS 2026'!AL58</f>
        <v>0</v>
      </c>
      <c r="E29" s="29">
        <f>'AVRIL 2026'!AL58</f>
        <v>0</v>
      </c>
      <c r="F29" s="29">
        <f>'MAI 2026'!AL58</f>
        <v>0</v>
      </c>
      <c r="G29" s="33">
        <f>'JUIN 2026'!AL58</f>
        <v>0</v>
      </c>
      <c r="H29" s="33">
        <f>'JUILLET 2026'!AL58</f>
        <v>0</v>
      </c>
      <c r="I29" s="33">
        <f>'AOUT 2026'!AL58</f>
        <v>0</v>
      </c>
      <c r="J29" s="33">
        <f>'SEPT 2026'!AL58</f>
        <v>0</v>
      </c>
      <c r="K29" s="29">
        <f>'OCT 2026'!AL58</f>
        <v>0</v>
      </c>
      <c r="L29" s="33">
        <f>'NOV 2026'!AL58</f>
        <v>0</v>
      </c>
      <c r="M29" s="309">
        <f>'DEC 2026'!AL58</f>
        <v>0</v>
      </c>
      <c r="N29" s="116"/>
      <c r="O29" s="118"/>
      <c r="P29" s="106"/>
      <c r="Q29" s="117">
        <v>26</v>
      </c>
    </row>
    <row r="30" spans="1:17" ht="15.75" x14ac:dyDescent="0.25">
      <c r="A30" s="3">
        <v>27</v>
      </c>
      <c r="B30" s="29">
        <f>'JANV 2026'!AL60</f>
        <v>0</v>
      </c>
      <c r="C30" s="29">
        <f>'FEVRIER 2026'!AL60</f>
        <v>0</v>
      </c>
      <c r="D30" s="33">
        <f>'MARS 2026'!AL59</f>
        <v>0</v>
      </c>
      <c r="E30" s="29">
        <f>'AVRIL 2026'!AL59</f>
        <v>0</v>
      </c>
      <c r="F30" s="29">
        <f>'MAI 2026'!AL59</f>
        <v>0</v>
      </c>
      <c r="G30" s="33">
        <f>'JUIN 2026'!AL59</f>
        <v>0</v>
      </c>
      <c r="H30" s="33">
        <f>'JUILLET 2026'!AL59</f>
        <v>0</v>
      </c>
      <c r="I30" s="33">
        <f>'AOUT 2026'!AL59</f>
        <v>0</v>
      </c>
      <c r="J30" s="33">
        <f>'SEPT 2026'!AL59</f>
        <v>0</v>
      </c>
      <c r="K30" s="29">
        <f>'OCT 2026'!AL59</f>
        <v>0</v>
      </c>
      <c r="L30" s="33">
        <f>'NOV 2026'!AL59</f>
        <v>0</v>
      </c>
      <c r="M30" s="309">
        <f>'DEC 2026'!AL59</f>
        <v>0</v>
      </c>
      <c r="N30" s="116"/>
      <c r="O30" s="118"/>
      <c r="P30" s="106"/>
      <c r="Q30" s="117">
        <v>27</v>
      </c>
    </row>
    <row r="31" spans="1:17" ht="15.75" x14ac:dyDescent="0.25">
      <c r="A31" s="3">
        <v>28</v>
      </c>
      <c r="B31" s="29">
        <f>'JANV 2026'!AL61</f>
        <v>0</v>
      </c>
      <c r="C31" s="29">
        <f>'FEVRIER 2026'!AL61</f>
        <v>0</v>
      </c>
      <c r="D31" s="33">
        <f>'MARS 2026'!AL60</f>
        <v>0</v>
      </c>
      <c r="E31" s="29">
        <f>'AVRIL 2026'!AL60</f>
        <v>0</v>
      </c>
      <c r="F31" s="29">
        <f>'MAI 2026'!AL60</f>
        <v>0</v>
      </c>
      <c r="G31" s="33">
        <f>'JUIN 2026'!AL60</f>
        <v>0</v>
      </c>
      <c r="H31" s="33">
        <f>'JUILLET 2026'!AL60</f>
        <v>0</v>
      </c>
      <c r="I31" s="33">
        <f>'AOUT 2026'!AL60</f>
        <v>0</v>
      </c>
      <c r="J31" s="33">
        <f>'SEPT 2026'!AL60</f>
        <v>0</v>
      </c>
      <c r="K31" s="29">
        <f>'OCT 2026'!AL60</f>
        <v>0</v>
      </c>
      <c r="L31" s="33">
        <f>'NOV 2026'!AL60</f>
        <v>0</v>
      </c>
      <c r="M31" s="309">
        <f>'DEC 2026'!AL60</f>
        <v>0</v>
      </c>
      <c r="N31" s="116"/>
      <c r="O31" s="118"/>
      <c r="P31" s="106"/>
      <c r="Q31" s="117">
        <v>28</v>
      </c>
    </row>
    <row r="32" spans="1:17" ht="15.75" x14ac:dyDescent="0.25">
      <c r="A32" s="3">
        <v>29</v>
      </c>
      <c r="B32" s="29">
        <f>'JANV 2026'!AL62</f>
        <v>0</v>
      </c>
      <c r="C32" s="29">
        <f>'FEVRIER 2026'!AL62</f>
        <v>0</v>
      </c>
      <c r="D32" s="33">
        <f>'MARS 2026'!AL61</f>
        <v>0</v>
      </c>
      <c r="E32" s="29">
        <f>'AVRIL 2026'!AL61</f>
        <v>0</v>
      </c>
      <c r="F32" s="29">
        <f>'MAI 2026'!AL61</f>
        <v>0</v>
      </c>
      <c r="G32" s="33">
        <f>'JUIN 2026'!AL61</f>
        <v>0</v>
      </c>
      <c r="H32" s="33">
        <f>'JUILLET 2026'!AL61</f>
        <v>0</v>
      </c>
      <c r="I32" s="33">
        <f>'AOUT 2026'!AL61</f>
        <v>0</v>
      </c>
      <c r="J32" s="33">
        <f>'SEPT 2026'!AL61</f>
        <v>0</v>
      </c>
      <c r="K32" s="29">
        <f>'OCT 2026'!AL61</f>
        <v>0</v>
      </c>
      <c r="L32" s="33">
        <f>'NOV 2026'!AL61</f>
        <v>0</v>
      </c>
      <c r="M32" s="309">
        <f>'DEC 2026'!AL61</f>
        <v>0</v>
      </c>
      <c r="N32" s="116"/>
      <c r="O32" s="118"/>
      <c r="P32" s="106"/>
      <c r="Q32" s="117">
        <v>29</v>
      </c>
    </row>
    <row r="33" spans="1:17" ht="15.75" x14ac:dyDescent="0.25">
      <c r="A33" s="3">
        <v>30</v>
      </c>
      <c r="B33" s="29">
        <f>'JANV 2026'!AL63</f>
        <v>0</v>
      </c>
      <c r="C33" s="29">
        <f>'FEVRIER 2026'!AL63</f>
        <v>0</v>
      </c>
      <c r="D33" s="33">
        <f>'MARS 2026'!AL62</f>
        <v>0</v>
      </c>
      <c r="E33" s="29">
        <f>'AVRIL 2026'!AL62</f>
        <v>0</v>
      </c>
      <c r="F33" s="29">
        <f>'MAI 2026'!AL62</f>
        <v>0</v>
      </c>
      <c r="G33" s="33">
        <f>'JUIN 2026'!AL62</f>
        <v>0</v>
      </c>
      <c r="H33" s="33">
        <f>'JUILLET 2026'!AL62</f>
        <v>0</v>
      </c>
      <c r="I33" s="33">
        <f>'AOUT 2026'!AL62</f>
        <v>0</v>
      </c>
      <c r="J33" s="33">
        <f>'SEPT 2026'!AL62</f>
        <v>0</v>
      </c>
      <c r="K33" s="29">
        <f>'OCT 2026'!AL62</f>
        <v>0</v>
      </c>
      <c r="L33" s="33">
        <f>'NOV 2026'!AL62</f>
        <v>0</v>
      </c>
      <c r="M33" s="309">
        <f>'DEC 2026'!AL62</f>
        <v>0</v>
      </c>
      <c r="N33" s="116"/>
      <c r="O33" s="118"/>
      <c r="P33" s="106"/>
      <c r="Q33" s="117">
        <v>30</v>
      </c>
    </row>
    <row r="34" spans="1:17" ht="15.75" x14ac:dyDescent="0.25">
      <c r="A34" s="3">
        <v>31</v>
      </c>
      <c r="B34" s="30"/>
      <c r="C34" s="105"/>
      <c r="D34" s="31"/>
      <c r="E34" s="105"/>
      <c r="F34" s="105"/>
      <c r="G34" s="31"/>
      <c r="H34" s="105"/>
      <c r="I34" s="105"/>
      <c r="J34" s="31"/>
      <c r="K34" s="31"/>
      <c r="L34" s="105"/>
      <c r="M34" s="116"/>
      <c r="N34" s="116"/>
      <c r="O34" s="118"/>
      <c r="P34" s="106"/>
      <c r="Q34" s="117">
        <v>31</v>
      </c>
    </row>
    <row r="35" spans="1:17" ht="15.75" x14ac:dyDescent="0.25">
      <c r="A35" s="3">
        <v>32</v>
      </c>
      <c r="B35" s="1"/>
      <c r="C35" s="105"/>
      <c r="D35" s="31"/>
      <c r="E35" s="105"/>
      <c r="F35" s="105"/>
      <c r="G35" s="31"/>
      <c r="H35" s="105"/>
      <c r="I35" s="105"/>
      <c r="J35" s="31"/>
      <c r="K35" s="3"/>
      <c r="L35" s="105"/>
      <c r="M35" s="116"/>
      <c r="N35" s="116"/>
      <c r="O35" s="118"/>
      <c r="P35" s="106"/>
      <c r="Q35" s="117">
        <v>32</v>
      </c>
    </row>
    <row r="36" spans="1:17" ht="15.75" x14ac:dyDescent="0.25">
      <c r="A36" s="3">
        <v>33</v>
      </c>
      <c r="B36" s="1"/>
      <c r="C36" s="105"/>
      <c r="D36" s="31"/>
      <c r="E36" s="105"/>
      <c r="F36" s="105"/>
      <c r="G36" s="105"/>
      <c r="H36" s="105"/>
      <c r="I36" s="105"/>
      <c r="J36" s="31"/>
      <c r="K36" s="3"/>
      <c r="L36" s="105"/>
      <c r="M36" s="116"/>
      <c r="N36" s="116"/>
      <c r="O36" s="118"/>
      <c r="P36" s="106"/>
      <c r="Q36" s="117">
        <v>33</v>
      </c>
    </row>
    <row r="37" spans="1:17" ht="15.75" x14ac:dyDescent="0.25">
      <c r="A37" s="3">
        <v>34</v>
      </c>
      <c r="B37" s="1"/>
      <c r="C37" s="105"/>
      <c r="D37" s="31"/>
      <c r="E37" s="105"/>
      <c r="F37" s="105"/>
      <c r="G37" s="105"/>
      <c r="H37" s="105"/>
      <c r="I37" s="105"/>
      <c r="J37" s="31"/>
      <c r="K37" s="3"/>
      <c r="L37" s="105"/>
      <c r="M37" s="116"/>
      <c r="N37" s="116"/>
      <c r="O37" s="118"/>
      <c r="P37" s="106"/>
      <c r="Q37" s="117">
        <v>34</v>
      </c>
    </row>
    <row r="38" spans="1:17" ht="15.75" x14ac:dyDescent="0.25">
      <c r="A38" s="3">
        <v>35</v>
      </c>
      <c r="B38" s="1"/>
      <c r="C38" s="105"/>
      <c r="D38" s="31"/>
      <c r="E38" s="105"/>
      <c r="F38" s="105"/>
      <c r="G38" s="105"/>
      <c r="H38" s="105"/>
      <c r="I38" s="105"/>
      <c r="J38" s="31"/>
      <c r="K38" s="3"/>
      <c r="L38" s="105"/>
      <c r="M38" s="116"/>
      <c r="N38" s="116"/>
      <c r="O38" s="118"/>
      <c r="P38" s="106"/>
      <c r="Q38" s="117">
        <v>35</v>
      </c>
    </row>
    <row r="39" spans="1:17" ht="15.75" x14ac:dyDescent="0.25">
      <c r="A39" s="3">
        <v>36</v>
      </c>
      <c r="B39" s="1"/>
      <c r="C39" s="105"/>
      <c r="D39" s="31"/>
      <c r="E39" s="105"/>
      <c r="F39" s="105"/>
      <c r="G39" s="105"/>
      <c r="H39" s="105"/>
      <c r="I39" s="105"/>
      <c r="J39" s="31"/>
      <c r="K39" s="3"/>
      <c r="L39" s="105"/>
      <c r="M39" s="116"/>
      <c r="N39" s="116"/>
      <c r="O39" s="118"/>
      <c r="P39" s="106"/>
      <c r="Q39" s="117">
        <v>36</v>
      </c>
    </row>
    <row r="40" spans="1:17" ht="15.75" x14ac:dyDescent="0.25">
      <c r="A40" s="3">
        <v>37</v>
      </c>
      <c r="B40" s="1"/>
      <c r="C40" s="105"/>
      <c r="D40" s="31"/>
      <c r="E40" s="105"/>
      <c r="F40" s="105"/>
      <c r="G40" s="105"/>
      <c r="H40" s="105"/>
      <c r="I40" s="105"/>
      <c r="J40" s="31"/>
      <c r="K40" s="3"/>
      <c r="L40" s="105"/>
      <c r="M40" s="116"/>
      <c r="N40" s="116"/>
      <c r="O40" s="118"/>
      <c r="P40" s="106"/>
      <c r="Q40" s="117">
        <v>37</v>
      </c>
    </row>
    <row r="41" spans="1:17" ht="15.75" x14ac:dyDescent="0.25">
      <c r="A41" s="3">
        <v>38</v>
      </c>
      <c r="B41" s="1"/>
      <c r="C41" s="105"/>
      <c r="D41" s="31"/>
      <c r="E41" s="105"/>
      <c r="F41" s="105"/>
      <c r="G41" s="105"/>
      <c r="H41" s="105"/>
      <c r="I41" s="105"/>
      <c r="J41" s="105"/>
      <c r="K41" s="3"/>
      <c r="L41" s="105"/>
      <c r="M41" s="116"/>
      <c r="N41" s="116"/>
      <c r="O41" s="118"/>
      <c r="P41" s="106"/>
      <c r="Q41" s="117">
        <v>38</v>
      </c>
    </row>
    <row r="42" spans="1:17" ht="15.75" x14ac:dyDescent="0.25">
      <c r="A42" s="3">
        <v>39</v>
      </c>
      <c r="B42" s="1"/>
      <c r="C42" s="105"/>
      <c r="D42" s="31"/>
      <c r="E42" s="105"/>
      <c r="F42" s="105"/>
      <c r="G42" s="105"/>
      <c r="H42" s="105"/>
      <c r="I42" s="105"/>
      <c r="J42" s="105"/>
      <c r="K42" s="3"/>
      <c r="L42" s="105"/>
      <c r="M42" s="116"/>
      <c r="N42" s="116"/>
      <c r="O42" s="118"/>
      <c r="P42" s="106"/>
      <c r="Q42" s="117">
        <v>39</v>
      </c>
    </row>
    <row r="43" spans="1:17" ht="15.75" x14ac:dyDescent="0.25">
      <c r="A43" s="3">
        <v>40</v>
      </c>
      <c r="B43" s="1"/>
      <c r="C43" s="105"/>
      <c r="D43" s="31"/>
      <c r="E43" s="105"/>
      <c r="F43" s="105"/>
      <c r="G43" s="105"/>
      <c r="H43" s="105"/>
      <c r="I43" s="105"/>
      <c r="J43" s="105"/>
      <c r="K43" s="3"/>
      <c r="L43" s="105"/>
      <c r="M43" s="116"/>
      <c r="N43" s="116"/>
      <c r="O43" s="118"/>
      <c r="P43" s="106"/>
      <c r="Q43" s="117">
        <v>40</v>
      </c>
    </row>
    <row r="44" spans="1:17" ht="15.75" x14ac:dyDescent="0.25">
      <c r="A44" s="3">
        <v>41</v>
      </c>
      <c r="B44" s="1"/>
      <c r="C44" s="105"/>
      <c r="D44" s="31"/>
      <c r="E44" s="105"/>
      <c r="F44" s="105"/>
      <c r="G44" s="105"/>
      <c r="H44" s="105"/>
      <c r="I44" s="105"/>
      <c r="J44" s="105"/>
      <c r="K44" s="3"/>
      <c r="L44" s="105"/>
      <c r="M44" s="116"/>
      <c r="N44" s="116"/>
      <c r="O44" s="118"/>
      <c r="P44" s="106"/>
      <c r="Q44" s="117">
        <v>41</v>
      </c>
    </row>
    <row r="45" spans="1:17" ht="15.75" x14ac:dyDescent="0.25">
      <c r="A45" s="3">
        <v>42</v>
      </c>
      <c r="B45" s="1"/>
      <c r="C45" s="105"/>
      <c r="D45" s="31"/>
      <c r="E45" s="105"/>
      <c r="F45" s="105"/>
      <c r="G45" s="105"/>
      <c r="H45" s="105"/>
      <c r="I45" s="105"/>
      <c r="J45" s="105"/>
      <c r="K45" s="3"/>
      <c r="L45" s="105"/>
      <c r="M45" s="116"/>
      <c r="N45" s="116"/>
      <c r="O45" s="118"/>
      <c r="P45" s="106"/>
      <c r="Q45" s="117">
        <v>42</v>
      </c>
    </row>
    <row r="46" spans="1:17" ht="15.75" x14ac:dyDescent="0.25">
      <c r="A46" s="2"/>
      <c r="D46" s="102"/>
      <c r="E46" s="102"/>
      <c r="F46" s="102"/>
      <c r="G46" s="102"/>
      <c r="H46" s="102"/>
      <c r="I46" s="102"/>
      <c r="J46" s="102"/>
      <c r="K46" s="102"/>
      <c r="L46" s="2"/>
      <c r="M46" s="102"/>
      <c r="N46" s="102"/>
      <c r="O46" s="102"/>
      <c r="P46" s="102"/>
      <c r="Q46" s="102"/>
    </row>
    <row r="47" spans="1:17" ht="15.75" x14ac:dyDescent="0.25">
      <c r="A47" s="2"/>
      <c r="C47" s="102"/>
      <c r="D47" s="102"/>
      <c r="E47" s="102"/>
      <c r="F47" s="102"/>
      <c r="G47" s="102"/>
      <c r="H47" s="102"/>
      <c r="I47" s="102"/>
      <c r="J47" s="102"/>
      <c r="K47" s="2"/>
      <c r="L47" s="102"/>
      <c r="M47" s="102"/>
      <c r="N47" s="102"/>
      <c r="O47" s="102"/>
      <c r="P47" s="102"/>
      <c r="Q47" s="2"/>
    </row>
    <row r="48" spans="1:17" ht="15.75" x14ac:dyDescent="0.25">
      <c r="A48" s="2"/>
      <c r="C48" s="102"/>
      <c r="D48" s="102"/>
      <c r="E48" s="102"/>
      <c r="F48" s="102"/>
      <c r="G48" s="102"/>
      <c r="H48" s="102"/>
      <c r="I48" s="102"/>
      <c r="J48" s="102"/>
      <c r="K48" s="2"/>
      <c r="L48" s="102"/>
      <c r="M48" s="102"/>
      <c r="N48" s="102"/>
      <c r="O48" s="102"/>
      <c r="P48" s="102"/>
      <c r="Q48" s="2"/>
    </row>
    <row r="49" spans="1:17" ht="15.75" x14ac:dyDescent="0.25">
      <c r="A49" s="2"/>
      <c r="C49" s="102"/>
      <c r="D49" s="102"/>
      <c r="E49" s="102"/>
      <c r="F49" s="102"/>
      <c r="G49" s="102"/>
      <c r="H49" s="102"/>
      <c r="I49" s="102"/>
      <c r="J49" s="102"/>
      <c r="K49" s="2"/>
      <c r="L49" s="102"/>
      <c r="M49" s="102"/>
      <c r="N49" s="102"/>
      <c r="O49" s="102"/>
      <c r="P49" s="102"/>
      <c r="Q49" s="2"/>
    </row>
    <row r="50" spans="1:17" ht="15.75" x14ac:dyDescent="0.25">
      <c r="A50" s="2"/>
      <c r="C50" s="102"/>
      <c r="D50" s="102"/>
      <c r="E50" s="102"/>
      <c r="F50" s="102"/>
      <c r="G50" s="102"/>
      <c r="H50" s="102"/>
      <c r="I50" s="102"/>
      <c r="J50" s="102"/>
      <c r="K50" s="2"/>
      <c r="L50" s="102"/>
      <c r="M50" s="102"/>
      <c r="N50" s="102"/>
      <c r="O50" s="102"/>
      <c r="P50" s="102"/>
      <c r="Q50" s="2"/>
    </row>
    <row r="51" spans="1:17" ht="15.75" x14ac:dyDescent="0.25">
      <c r="A51" s="2"/>
      <c r="C51" s="102"/>
      <c r="D51" s="102"/>
      <c r="E51" s="102"/>
      <c r="F51" s="102"/>
      <c r="G51" s="102"/>
      <c r="H51" s="102"/>
      <c r="I51" s="102"/>
      <c r="J51" s="102"/>
      <c r="K51" s="2"/>
      <c r="L51" s="102"/>
      <c r="M51" s="102"/>
      <c r="N51" s="102"/>
      <c r="O51" s="102"/>
      <c r="P51" s="102"/>
      <c r="Q51" s="2"/>
    </row>
    <row r="52" spans="1:17" ht="15.75" x14ac:dyDescent="0.25">
      <c r="A52" s="2"/>
      <c r="C52" s="102"/>
      <c r="D52" s="102"/>
      <c r="E52" s="102"/>
      <c r="F52" s="102"/>
      <c r="G52" s="102"/>
      <c r="H52" s="102"/>
      <c r="I52" s="102"/>
      <c r="J52" s="102"/>
      <c r="K52" s="2"/>
      <c r="L52" s="102"/>
      <c r="M52" s="102"/>
      <c r="N52" s="102"/>
      <c r="O52" s="102"/>
      <c r="P52" s="102"/>
      <c r="Q52" s="2"/>
    </row>
    <row r="53" spans="1:17" ht="15.75" x14ac:dyDescent="0.25">
      <c r="A53" s="2"/>
      <c r="C53" s="102"/>
      <c r="D53" s="102"/>
      <c r="E53" s="102"/>
      <c r="F53" s="102"/>
      <c r="G53" s="102"/>
      <c r="H53" s="102"/>
      <c r="I53" s="102"/>
      <c r="J53" s="102"/>
      <c r="K53" s="2"/>
      <c r="L53" s="102"/>
      <c r="M53" s="102"/>
      <c r="N53" s="102"/>
      <c r="O53" s="102"/>
      <c r="P53" s="102"/>
      <c r="Q53" s="2"/>
    </row>
    <row r="54" spans="1:17" ht="15.75" x14ac:dyDescent="0.25">
      <c r="A54" s="2"/>
      <c r="C54" s="102"/>
      <c r="D54" s="102"/>
      <c r="E54" s="102"/>
      <c r="F54" s="102"/>
      <c r="G54" s="102"/>
      <c r="H54" s="102"/>
      <c r="I54" s="102"/>
      <c r="J54" s="102"/>
      <c r="K54" s="2"/>
      <c r="L54" s="102"/>
      <c r="M54" s="102"/>
      <c r="N54" s="102"/>
      <c r="O54" s="102"/>
      <c r="P54" s="102"/>
      <c r="Q54" s="2"/>
    </row>
    <row r="55" spans="1:17" ht="15.75" x14ac:dyDescent="0.25">
      <c r="A55" s="2"/>
      <c r="C55" s="102"/>
      <c r="D55" s="102"/>
      <c r="E55" s="102"/>
      <c r="F55" s="102"/>
      <c r="G55" s="102"/>
      <c r="H55" s="102"/>
      <c r="I55" s="102"/>
      <c r="J55" s="102"/>
      <c r="K55" s="2"/>
      <c r="L55" s="102"/>
      <c r="M55" s="102"/>
      <c r="N55" s="102"/>
      <c r="O55" s="102"/>
      <c r="P55" s="102"/>
      <c r="Q55" s="2"/>
    </row>
    <row r="56" spans="1:17" ht="15.75" x14ac:dyDescent="0.25">
      <c r="A56" s="2"/>
      <c r="C56" s="102"/>
      <c r="D56" s="102"/>
      <c r="E56" s="102"/>
      <c r="F56" s="102"/>
      <c r="G56" s="102"/>
      <c r="H56" s="102"/>
      <c r="I56" s="102"/>
      <c r="J56" s="102"/>
      <c r="K56" s="2"/>
      <c r="L56" s="102"/>
      <c r="M56" s="102"/>
      <c r="N56" s="102"/>
      <c r="O56" s="102"/>
      <c r="P56" s="102"/>
      <c r="Q56" s="2"/>
    </row>
    <row r="57" spans="1:17" ht="15.75" x14ac:dyDescent="0.25">
      <c r="A57" s="2"/>
      <c r="C57" s="102"/>
      <c r="D57" s="102"/>
      <c r="E57" s="102"/>
      <c r="F57" s="102"/>
      <c r="G57" s="102"/>
      <c r="H57" s="102"/>
      <c r="I57" s="102"/>
      <c r="J57" s="102"/>
      <c r="K57" s="2"/>
      <c r="L57" s="102"/>
      <c r="M57" s="102"/>
      <c r="N57" s="102"/>
      <c r="O57" s="102"/>
      <c r="P57" s="102"/>
      <c r="Q57" s="2"/>
    </row>
    <row r="58" spans="1:17" ht="15.75" x14ac:dyDescent="0.25">
      <c r="A58" s="2"/>
      <c r="B58" s="101"/>
      <c r="C58" s="102"/>
      <c r="D58" s="102"/>
      <c r="E58" s="102"/>
      <c r="F58" s="102"/>
      <c r="G58" s="102"/>
      <c r="H58" s="102"/>
      <c r="I58" s="102"/>
      <c r="J58" s="102"/>
      <c r="K58" s="2"/>
      <c r="L58" s="102"/>
      <c r="M58" s="102"/>
      <c r="N58" s="102"/>
      <c r="O58" s="102"/>
      <c r="P58" s="105" t="s">
        <v>18</v>
      </c>
      <c r="Q58" s="2"/>
    </row>
    <row r="59" spans="1:17" ht="15.75" x14ac:dyDescent="0.25">
      <c r="A59" s="2"/>
      <c r="B59" s="107">
        <f t="shared" ref="B59:C59" si="0">SUM(B4:B58)</f>
        <v>0</v>
      </c>
      <c r="C59" s="107">
        <f t="shared" si="0"/>
        <v>0</v>
      </c>
      <c r="D59" s="107">
        <f>SUM(D4:D58)</f>
        <v>0</v>
      </c>
      <c r="E59" s="107">
        <f>SUM(E4:E58)</f>
        <v>0</v>
      </c>
      <c r="F59" s="107">
        <f t="shared" ref="F59:M59" si="1">SUM(F4:F58)</f>
        <v>0</v>
      </c>
      <c r="G59" s="107">
        <f t="shared" si="1"/>
        <v>1177.79</v>
      </c>
      <c r="H59" s="107">
        <f t="shared" si="1"/>
        <v>0</v>
      </c>
      <c r="I59" s="107">
        <f t="shared" si="1"/>
        <v>0</v>
      </c>
      <c r="J59" s="107">
        <f t="shared" si="1"/>
        <v>0</v>
      </c>
      <c r="K59" s="107">
        <f t="shared" si="1"/>
        <v>0</v>
      </c>
      <c r="L59" s="107">
        <f t="shared" si="1"/>
        <v>0</v>
      </c>
      <c r="M59" s="107">
        <f t="shared" si="1"/>
        <v>0</v>
      </c>
      <c r="N59" s="107"/>
      <c r="O59" s="107">
        <f>SUM(B59:M59)</f>
        <v>1177.79</v>
      </c>
      <c r="P59" s="107">
        <f>W67</f>
        <v>0</v>
      </c>
      <c r="Q59" s="107">
        <f>SUM(O59-P59)</f>
        <v>1177.79</v>
      </c>
    </row>
    <row r="60" spans="1:17" ht="15.75" x14ac:dyDescent="0.25">
      <c r="A60" s="2"/>
      <c r="B60" s="108">
        <f>'JANV 2026'!F35</f>
        <v>0</v>
      </c>
      <c r="C60" s="108">
        <f>'FEVRIER 2026'!F35</f>
        <v>0</v>
      </c>
      <c r="D60" s="107">
        <f>'MARS 2026'!F35</f>
        <v>0</v>
      </c>
      <c r="E60" s="107">
        <f>'AVRIL 2026'!F35</f>
        <v>0</v>
      </c>
      <c r="F60" s="107">
        <f>'MAI 2026'!F35</f>
        <v>0</v>
      </c>
      <c r="G60" s="107">
        <f>'JUIN 2026'!F35</f>
        <v>858.09168875721184</v>
      </c>
      <c r="H60" s="107">
        <f>'JUILLET 2026'!F35</f>
        <v>0</v>
      </c>
      <c r="I60" s="107">
        <f>'AOUT 2026'!F35</f>
        <v>0</v>
      </c>
      <c r="J60" s="107">
        <f>'SEPT 2026'!F35</f>
        <v>0</v>
      </c>
      <c r="K60" s="10">
        <f>'OCT 2026'!F35</f>
        <v>0</v>
      </c>
      <c r="L60" s="107">
        <f>'NOV 2026'!F35</f>
        <v>0</v>
      </c>
      <c r="M60" s="107">
        <f>'DEC 2026'!F35</f>
        <v>0</v>
      </c>
      <c r="N60" s="107"/>
      <c r="O60" s="107">
        <f>SUM(B60:N60)</f>
        <v>858.09168875721184</v>
      </c>
      <c r="P60" s="107"/>
      <c r="Q60" s="107">
        <f>O60</f>
        <v>858.09168875721184</v>
      </c>
    </row>
    <row r="61" spans="1:17" ht="15.75" x14ac:dyDescent="0.25">
      <c r="A61" s="2"/>
      <c r="B61" s="108" t="e">
        <f t="shared" ref="B61:M61" si="2">SUM(B60/B59)</f>
        <v>#DIV/0!</v>
      </c>
      <c r="C61" s="108" t="e">
        <f t="shared" si="2"/>
        <v>#DIV/0!</v>
      </c>
      <c r="D61" s="107" t="e">
        <f>SUM(D60/D59)</f>
        <v>#DIV/0!</v>
      </c>
      <c r="E61" s="107" t="e">
        <f t="shared" si="2"/>
        <v>#DIV/0!</v>
      </c>
      <c r="F61" s="107" t="e">
        <f t="shared" si="2"/>
        <v>#DIV/0!</v>
      </c>
      <c r="G61" s="107">
        <f t="shared" si="2"/>
        <v>0.72856085444536955</v>
      </c>
      <c r="H61" s="107" t="e">
        <f>SUM(H60/H59)</f>
        <v>#DIV/0!</v>
      </c>
      <c r="I61" s="107" t="e">
        <f t="shared" si="2"/>
        <v>#DIV/0!</v>
      </c>
      <c r="J61" s="107" t="e">
        <f t="shared" si="2"/>
        <v>#DIV/0!</v>
      </c>
      <c r="K61" s="107" t="e">
        <f t="shared" si="2"/>
        <v>#DIV/0!</v>
      </c>
      <c r="L61" s="107" t="e">
        <f t="shared" si="2"/>
        <v>#DIV/0!</v>
      </c>
      <c r="M61" s="107" t="e">
        <f t="shared" si="2"/>
        <v>#DIV/0!</v>
      </c>
      <c r="N61" s="107"/>
      <c r="O61" s="107">
        <f>SUM(O60/O59)</f>
        <v>0.72856085444536955</v>
      </c>
      <c r="P61" s="107"/>
      <c r="Q61" s="10">
        <f>SUM(Q60/Q59)</f>
        <v>0.72856085444536955</v>
      </c>
    </row>
    <row r="62" spans="1:17" ht="15.75" x14ac:dyDescent="0.25">
      <c r="A62" s="2"/>
      <c r="B62" s="2"/>
      <c r="C62" s="104"/>
      <c r="D62" s="104"/>
      <c r="E62" s="104"/>
      <c r="F62" s="104"/>
      <c r="G62" s="104"/>
      <c r="H62" s="104"/>
      <c r="I62" s="104"/>
      <c r="J62" s="104"/>
      <c r="K62" s="2"/>
      <c r="L62" s="104"/>
      <c r="M62" s="104"/>
      <c r="N62" s="104"/>
      <c r="O62" s="104"/>
      <c r="P62" s="104"/>
      <c r="Q62" s="2"/>
    </row>
    <row r="63" spans="1:17" ht="15.75" x14ac:dyDescent="0.25">
      <c r="A63" s="2"/>
      <c r="B63" s="109"/>
      <c r="C63" s="104"/>
      <c r="D63" s="104"/>
      <c r="E63" s="104"/>
      <c r="F63" s="104"/>
      <c r="G63" s="104"/>
      <c r="H63" s="104"/>
      <c r="I63" s="104"/>
      <c r="J63" s="104"/>
      <c r="K63" s="2"/>
      <c r="L63" s="104"/>
      <c r="M63" s="104"/>
      <c r="N63" s="104"/>
      <c r="O63" s="104"/>
      <c r="P63" s="104"/>
      <c r="Q63" s="2"/>
    </row>
    <row r="64" spans="1:17" ht="15.75" x14ac:dyDescent="0.25">
      <c r="A64" s="2"/>
      <c r="B64" s="2"/>
      <c r="C64" s="104"/>
      <c r="D64" s="104"/>
      <c r="E64" s="104"/>
      <c r="F64" s="104"/>
      <c r="G64" s="104"/>
      <c r="H64" s="104"/>
      <c r="I64" s="104"/>
      <c r="J64" s="104"/>
      <c r="K64" s="2"/>
      <c r="L64" s="104"/>
      <c r="M64" s="104"/>
      <c r="N64" s="104"/>
      <c r="O64" s="104"/>
      <c r="P64" s="104"/>
      <c r="Q64" s="2"/>
    </row>
    <row r="65" spans="1:17" ht="15.75" x14ac:dyDescent="0.25">
      <c r="A65" s="2"/>
      <c r="B65" s="3" t="s">
        <v>73</v>
      </c>
      <c r="C65" s="104"/>
      <c r="D65" s="104"/>
      <c r="E65" s="104"/>
      <c r="F65" s="104"/>
      <c r="G65" s="104"/>
      <c r="H65" s="104"/>
      <c r="I65" s="104"/>
      <c r="J65" s="104"/>
      <c r="K65" s="2"/>
      <c r="L65" s="104"/>
      <c r="M65" s="104"/>
      <c r="N65" s="103">
        <f>O68</f>
        <v>3000</v>
      </c>
      <c r="O65" s="107">
        <f>O59</f>
        <v>1177.79</v>
      </c>
      <c r="P65" s="103" t="s">
        <v>18</v>
      </c>
      <c r="Q65" s="2"/>
    </row>
    <row r="66" spans="1:17" ht="15.75" x14ac:dyDescent="0.25">
      <c r="A66" s="2"/>
      <c r="B66" s="108">
        <f>B59</f>
        <v>0</v>
      </c>
      <c r="C66" s="108">
        <f>C59</f>
        <v>0</v>
      </c>
      <c r="D66" s="108">
        <f t="shared" ref="D66:M67" si="3">D59</f>
        <v>0</v>
      </c>
      <c r="E66" s="108">
        <f t="shared" si="3"/>
        <v>0</v>
      </c>
      <c r="F66" s="108">
        <f t="shared" si="3"/>
        <v>0</v>
      </c>
      <c r="G66" s="108">
        <f t="shared" si="3"/>
        <v>1177.79</v>
      </c>
      <c r="H66" s="108">
        <f t="shared" si="3"/>
        <v>0</v>
      </c>
      <c r="I66" s="108">
        <f t="shared" si="3"/>
        <v>0</v>
      </c>
      <c r="J66" s="108">
        <f t="shared" si="3"/>
        <v>0</v>
      </c>
      <c r="K66" s="3">
        <f t="shared" si="3"/>
        <v>0</v>
      </c>
      <c r="L66" s="3">
        <f t="shared" si="3"/>
        <v>0</v>
      </c>
      <c r="M66" s="3">
        <f t="shared" si="3"/>
        <v>0</v>
      </c>
      <c r="N66" s="103"/>
      <c r="O66" s="107">
        <f>SUM(O65-N65)</f>
        <v>-1822.21</v>
      </c>
      <c r="P66" s="103">
        <f>W67</f>
        <v>0</v>
      </c>
      <c r="Q66" s="107">
        <f>SUM(O66-P66)</f>
        <v>-1822.21</v>
      </c>
    </row>
    <row r="67" spans="1:17" ht="15.75" x14ac:dyDescent="0.25">
      <c r="A67" s="2"/>
      <c r="B67" s="108">
        <f>B60</f>
        <v>0</v>
      </c>
      <c r="C67" s="108">
        <f>C60</f>
        <v>0</v>
      </c>
      <c r="D67" s="107">
        <f t="shared" si="3"/>
        <v>0</v>
      </c>
      <c r="E67" s="107">
        <f t="shared" si="3"/>
        <v>0</v>
      </c>
      <c r="F67" s="107">
        <f t="shared" si="3"/>
        <v>0</v>
      </c>
      <c r="G67" s="107">
        <f t="shared" si="3"/>
        <v>858.09168875721184</v>
      </c>
      <c r="H67" s="107">
        <f t="shared" si="3"/>
        <v>0</v>
      </c>
      <c r="I67" s="107">
        <f t="shared" si="3"/>
        <v>0</v>
      </c>
      <c r="J67" s="107">
        <f t="shared" si="3"/>
        <v>0</v>
      </c>
      <c r="K67" s="107">
        <f>K60</f>
        <v>0</v>
      </c>
      <c r="L67" s="107">
        <f>L60</f>
        <v>0</v>
      </c>
      <c r="M67" s="107">
        <f>M60</f>
        <v>0</v>
      </c>
      <c r="N67" s="107"/>
      <c r="O67" s="107">
        <f>SUM(B67:N67)</f>
        <v>858.09168875721184</v>
      </c>
      <c r="P67" s="107"/>
      <c r="Q67" s="107">
        <f>O67</f>
        <v>858.09168875721184</v>
      </c>
    </row>
    <row r="68" spans="1:17" ht="15.75" x14ac:dyDescent="0.25">
      <c r="A68" s="2"/>
      <c r="B68" s="98">
        <v>400</v>
      </c>
      <c r="C68" s="110">
        <v>800</v>
      </c>
      <c r="D68" s="110">
        <v>800</v>
      </c>
      <c r="E68" s="110">
        <v>1000</v>
      </c>
      <c r="F68" s="110"/>
      <c r="G68" s="110"/>
      <c r="H68" s="110"/>
      <c r="I68" s="110"/>
      <c r="J68" s="110"/>
      <c r="K68" s="98"/>
      <c r="L68" s="110"/>
      <c r="M68" s="110"/>
      <c r="N68" s="110"/>
      <c r="O68" s="110">
        <f>SUM(B68:M68)</f>
        <v>3000</v>
      </c>
      <c r="P68" s="110"/>
      <c r="Q68" s="98"/>
    </row>
    <row r="69" spans="1:17" ht="15.75" x14ac:dyDescent="0.25">
      <c r="A69" s="2"/>
      <c r="B69" s="111">
        <f t="shared" ref="B69:I69" si="4">SUM(B67:B68)</f>
        <v>400</v>
      </c>
      <c r="C69" s="111">
        <f t="shared" si="4"/>
        <v>800</v>
      </c>
      <c r="D69" s="111">
        <f t="shared" si="4"/>
        <v>800</v>
      </c>
      <c r="E69" s="111">
        <f t="shared" si="4"/>
        <v>1000</v>
      </c>
      <c r="F69" s="111">
        <f t="shared" si="4"/>
        <v>0</v>
      </c>
      <c r="G69" s="111">
        <f t="shared" si="4"/>
        <v>858.09168875721184</v>
      </c>
      <c r="H69" s="111">
        <f t="shared" si="4"/>
        <v>0</v>
      </c>
      <c r="I69" s="111">
        <f t="shared" si="4"/>
        <v>0</v>
      </c>
      <c r="J69" s="111">
        <f>SUM(J67:J68)</f>
        <v>0</v>
      </c>
      <c r="K69" s="112">
        <f t="shared" ref="K69:O69" si="5">SUM(K67:K68)</f>
        <v>0</v>
      </c>
      <c r="L69" s="111">
        <f>SUM(L67:L68)</f>
        <v>0</v>
      </c>
      <c r="M69" s="111">
        <f t="shared" si="5"/>
        <v>0</v>
      </c>
      <c r="N69" s="111">
        <f t="shared" si="5"/>
        <v>0</v>
      </c>
      <c r="O69" s="111">
        <f t="shared" si="5"/>
        <v>3858.0916887572121</v>
      </c>
      <c r="P69" s="111"/>
      <c r="Q69" s="112">
        <f>O69</f>
        <v>3858.0916887572121</v>
      </c>
    </row>
    <row r="70" spans="1:17" ht="15.75" x14ac:dyDescent="0.25">
      <c r="A70" s="2"/>
      <c r="B70" s="108" t="e">
        <f>SUM(B69/B66)</f>
        <v>#DIV/0!</v>
      </c>
      <c r="C70" s="108" t="e">
        <f>SUM(C69/C66)</f>
        <v>#DIV/0!</v>
      </c>
      <c r="D70" s="108" t="e">
        <f>SUM(D69/D66)</f>
        <v>#DIV/0!</v>
      </c>
      <c r="E70" s="108" t="e">
        <f>SUM(E69/E66)</f>
        <v>#DIV/0!</v>
      </c>
      <c r="F70" s="108" t="e">
        <f>SUM(F69/F66)</f>
        <v>#DIV/0!</v>
      </c>
      <c r="G70" s="108">
        <f t="shared" ref="G70:M70" si="6">SUM(G69/G66)</f>
        <v>0.72856085444536955</v>
      </c>
      <c r="H70" s="108" t="e">
        <f t="shared" si="6"/>
        <v>#DIV/0!</v>
      </c>
      <c r="I70" s="108" t="e">
        <f t="shared" si="6"/>
        <v>#DIV/0!</v>
      </c>
      <c r="J70" s="108" t="e">
        <f t="shared" si="6"/>
        <v>#DIV/0!</v>
      </c>
      <c r="K70" s="108" t="e">
        <f t="shared" si="6"/>
        <v>#DIV/0!</v>
      </c>
      <c r="L70" s="108" t="e">
        <f t="shared" si="6"/>
        <v>#DIV/0!</v>
      </c>
      <c r="M70" s="108" t="e">
        <f t="shared" si="6"/>
        <v>#DIV/0!</v>
      </c>
      <c r="N70" s="107"/>
      <c r="O70" s="107">
        <f>SUM(O69/O66)</f>
        <v>-2.1172596400838608</v>
      </c>
      <c r="P70" s="107"/>
      <c r="Q70" s="10">
        <f>SUM(Q69/Q66)</f>
        <v>-2.1172596400838608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14</vt:i4>
      </vt:variant>
      <vt:variant>
        <vt:lpstr>Plages nommées</vt:lpstr>
      </vt:variant>
      <vt:variant>
        <vt:i4>12</vt:i4>
      </vt:variant>
    </vt:vector>
  </HeadingPairs>
  <TitlesOfParts>
    <vt:vector size="26" baseType="lpstr">
      <vt:lpstr>DEC 2026</vt:lpstr>
      <vt:lpstr>NOV 2026</vt:lpstr>
      <vt:lpstr>OCT 2026</vt:lpstr>
      <vt:lpstr>SEPT 2026</vt:lpstr>
      <vt:lpstr>AOUT 2026</vt:lpstr>
      <vt:lpstr>JUILLET 2026</vt:lpstr>
      <vt:lpstr>JUIN 2026</vt:lpstr>
      <vt:lpstr>MAI 2026</vt:lpstr>
      <vt:lpstr>AVRIL 2026</vt:lpstr>
      <vt:lpstr>MARS 2026</vt:lpstr>
      <vt:lpstr>FEVRIER 2026</vt:lpstr>
      <vt:lpstr>JANV 2026</vt:lpstr>
      <vt:lpstr>tva onss</vt:lpstr>
      <vt:lpstr>marge</vt:lpstr>
      <vt:lpstr>'AOUT 2026'!Zone_d_impression</vt:lpstr>
      <vt:lpstr>'AVRIL 2026'!Zone_d_impression</vt:lpstr>
      <vt:lpstr>'DEC 2026'!Zone_d_impression</vt:lpstr>
      <vt:lpstr>'FEVRIER 2026'!Zone_d_impression</vt:lpstr>
      <vt:lpstr>'JANV 2026'!Zone_d_impression</vt:lpstr>
      <vt:lpstr>'JUILLET 2026'!Zone_d_impression</vt:lpstr>
      <vt:lpstr>'JUIN 2026'!Zone_d_impression</vt:lpstr>
      <vt:lpstr>'MAI 2026'!Zone_d_impression</vt:lpstr>
      <vt:lpstr>'MARS 2026'!Zone_d_impression</vt:lpstr>
      <vt:lpstr>'NOV 2026'!Zone_d_impression</vt:lpstr>
      <vt:lpstr>'OCT 2026'!Zone_d_impression</vt:lpstr>
      <vt:lpstr>'SEPT 2026'!Zone_d_impression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Tommaso Ravo</dc:creator>
  <cp:lastModifiedBy>Tom Rav</cp:lastModifiedBy>
  <cp:lastPrinted>2025-06-26T15:26:52Z</cp:lastPrinted>
  <dcterms:created xsi:type="dcterms:W3CDTF">2011-01-02T14:34:58Z</dcterms:created>
  <dcterms:modified xsi:type="dcterms:W3CDTF">2026-06-19T09:31:54Z</dcterms:modified>
</cp:coreProperties>
</file>